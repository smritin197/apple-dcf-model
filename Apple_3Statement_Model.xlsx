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mriti\Desktop\"/>
    </mc:Choice>
  </mc:AlternateContent>
  <xr:revisionPtr revIDLastSave="0" documentId="13_ncr:1_{985277B9-B6C4-4537-AF4B-133FD088A6FE}" xr6:coauthVersionLast="47" xr6:coauthVersionMax="47" xr10:uidLastSave="{00000000-0000-0000-0000-000000000000}"/>
  <bookViews>
    <workbookView xWindow="-108" yWindow="-108" windowWidth="23256" windowHeight="13896" firstSheet="4" activeTab="9" xr2:uid="{D33F1C36-0316-4AAC-8AAD-0E4D4311D0D3}"/>
  </bookViews>
  <sheets>
    <sheet name="Cover" sheetId="1" r:id="rId1"/>
    <sheet name="Historical " sheetId="2" r:id="rId2"/>
    <sheet name="Assumptions" sheetId="3" r:id="rId3"/>
    <sheet name="Income Statement" sheetId="4" r:id="rId4"/>
    <sheet name="Balance Sheet" sheetId="5" r:id="rId5"/>
    <sheet name="Cash Flow Statement" sheetId="6" r:id="rId6"/>
    <sheet name="Supporting Schedules" sheetId="7" r:id="rId7"/>
    <sheet name="Checks" sheetId="8" r:id="rId8"/>
    <sheet name="DCF" sheetId="9" r:id="rId9"/>
    <sheet name="Sensitivity"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9" l="1"/>
  <c r="E3" i="9"/>
  <c r="D3" i="9"/>
  <c r="C3" i="9"/>
  <c r="B3" i="9"/>
  <c r="B10" i="6"/>
  <c r="B8" i="6"/>
  <c r="F14" i="5"/>
  <c r="G14" i="5"/>
  <c r="H14" i="5" s="1"/>
  <c r="I14" i="5" s="1"/>
  <c r="E14" i="5"/>
  <c r="F13" i="5"/>
  <c r="G13" i="5" s="1"/>
  <c r="H13" i="5" s="1"/>
  <c r="I13" i="5" s="1"/>
  <c r="E13" i="5"/>
  <c r="F8" i="5"/>
  <c r="G8" i="5"/>
  <c r="H8" i="5" s="1"/>
  <c r="I8" i="5" s="1"/>
  <c r="E8" i="5"/>
  <c r="C2" i="7"/>
  <c r="B5" i="7"/>
  <c r="E11" i="5"/>
  <c r="F11" i="5" s="1"/>
  <c r="G11" i="5" s="1"/>
  <c r="H11" i="5" s="1"/>
  <c r="I11" i="5" s="1"/>
  <c r="C11" i="5"/>
  <c r="H5" i="5"/>
  <c r="G5" i="5"/>
  <c r="F5" i="5"/>
  <c r="E5" i="5"/>
  <c r="C8" i="5"/>
  <c r="D8" i="5"/>
  <c r="B8" i="5"/>
  <c r="C17" i="5"/>
  <c r="D17" i="5"/>
  <c r="B17" i="5"/>
  <c r="C14" i="5"/>
  <c r="D14" i="5"/>
  <c r="B14" i="5"/>
  <c r="D11" i="5"/>
  <c r="B11" i="5"/>
  <c r="C5" i="5"/>
  <c r="D5" i="5"/>
  <c r="I5" i="5" s="1"/>
  <c r="B5" i="5"/>
  <c r="D13" i="4"/>
  <c r="C13" i="4"/>
  <c r="D12" i="4"/>
  <c r="B3" i="6" s="1"/>
  <c r="C12" i="4"/>
  <c r="B12" i="4"/>
  <c r="B13" i="4"/>
  <c r="F8" i="4"/>
  <c r="G8" i="4"/>
  <c r="H8" i="4"/>
  <c r="I8" i="4"/>
  <c r="E8" i="4"/>
  <c r="E2" i="4"/>
  <c r="D11" i="4"/>
  <c r="B2" i="6" s="1"/>
  <c r="C11" i="4"/>
  <c r="B11" i="4"/>
  <c r="B2" i="4"/>
  <c r="D10" i="4"/>
  <c r="C10" i="4"/>
  <c r="B10" i="4"/>
  <c r="D9" i="4"/>
  <c r="C9" i="4"/>
  <c r="B9" i="4"/>
  <c r="D8" i="4"/>
  <c r="C8" i="4"/>
  <c r="B8" i="4"/>
  <c r="D7" i="4"/>
  <c r="C7" i="4"/>
  <c r="B7" i="4"/>
  <c r="D6" i="4"/>
  <c r="C6" i="4"/>
  <c r="B6" i="4"/>
  <c r="D5" i="4"/>
  <c r="C5" i="4"/>
  <c r="B5" i="4"/>
  <c r="D4" i="4"/>
  <c r="C4" i="4"/>
  <c r="B4" i="4"/>
  <c r="D3" i="4"/>
  <c r="C3" i="4"/>
  <c r="B3" i="4"/>
  <c r="D2" i="4"/>
  <c r="C2" i="4"/>
  <c r="B7" i="6" l="1"/>
  <c r="B9" i="6" s="1"/>
  <c r="B11" i="6" s="1"/>
  <c r="C10" i="6" s="1"/>
  <c r="F2" i="4"/>
  <c r="E12" i="4"/>
  <c r="E3" i="4"/>
  <c r="E5" i="4"/>
  <c r="E3" i="5"/>
  <c r="C4" i="6" s="1"/>
  <c r="E6" i="4"/>
  <c r="E13" i="4"/>
  <c r="E10" i="5" l="1"/>
  <c r="E4" i="5"/>
  <c r="C5" i="6" s="1"/>
  <c r="E4" i="4"/>
  <c r="E7" i="4" s="1"/>
  <c r="E9" i="4" s="1"/>
  <c r="C3" i="6"/>
  <c r="C4" i="7"/>
  <c r="F12" i="4"/>
  <c r="F3" i="5"/>
  <c r="D4" i="6" s="1"/>
  <c r="F13" i="4"/>
  <c r="F6" i="4"/>
  <c r="F3" i="4"/>
  <c r="F5" i="4"/>
  <c r="G2" i="4"/>
  <c r="F4" i="4"/>
  <c r="F7" i="4" s="1"/>
  <c r="F9" i="4" s="1"/>
  <c r="C8" i="6"/>
  <c r="C3" i="7"/>
  <c r="C5" i="7" s="1"/>
  <c r="D8" i="6" l="1"/>
  <c r="D3" i="7"/>
  <c r="D2" i="7"/>
  <c r="E7" i="5"/>
  <c r="D3" i="6"/>
  <c r="D4" i="7"/>
  <c r="F10" i="4"/>
  <c r="F11" i="4" s="1"/>
  <c r="D2" i="6" s="1"/>
  <c r="G3" i="5"/>
  <c r="E4" i="6" s="1"/>
  <c r="G13" i="4"/>
  <c r="G5" i="4"/>
  <c r="G6" i="4"/>
  <c r="G3" i="4"/>
  <c r="H2" i="4"/>
  <c r="G12" i="4"/>
  <c r="G4" i="4"/>
  <c r="G7" i="4" s="1"/>
  <c r="G9" i="4" s="1"/>
  <c r="E10" i="4"/>
  <c r="E11" i="4" s="1"/>
  <c r="C2" i="6" s="1"/>
  <c r="C7" i="6" s="1"/>
  <c r="C9" i="6" s="1"/>
  <c r="F10" i="5"/>
  <c r="F4" i="5"/>
  <c r="D5" i="6" s="1"/>
  <c r="E12" i="5"/>
  <c r="E15" i="5" s="1"/>
  <c r="C6" i="6"/>
  <c r="B2" i="9" l="1"/>
  <c r="B4" i="9" s="1"/>
  <c r="C11" i="6"/>
  <c r="G10" i="4"/>
  <c r="G11" i="4"/>
  <c r="E2" i="6" s="1"/>
  <c r="E4" i="7"/>
  <c r="E3" i="6"/>
  <c r="H3" i="5"/>
  <c r="F4" i="6" s="1"/>
  <c r="H13" i="4"/>
  <c r="H5" i="4"/>
  <c r="H3" i="4"/>
  <c r="H6" i="4"/>
  <c r="H4" i="4"/>
  <c r="H7" i="4" s="1"/>
  <c r="H9" i="4" s="1"/>
  <c r="I2" i="4"/>
  <c r="H12" i="4"/>
  <c r="G4" i="5"/>
  <c r="E5" i="6" s="1"/>
  <c r="G10" i="5"/>
  <c r="D6" i="6"/>
  <c r="D7" i="6" s="1"/>
  <c r="D9" i="6" s="1"/>
  <c r="C2" i="9" s="1"/>
  <c r="C4" i="9" s="1"/>
  <c r="F12" i="5"/>
  <c r="F15" i="5" s="1"/>
  <c r="D5" i="7"/>
  <c r="E3" i="7"/>
  <c r="E8" i="6"/>
  <c r="F4" i="7" l="1"/>
  <c r="F3" i="6"/>
  <c r="I13" i="4"/>
  <c r="I5" i="4"/>
  <c r="I3" i="4"/>
  <c r="I3" i="5"/>
  <c r="G4" i="6" s="1"/>
  <c r="I12" i="4"/>
  <c r="I6" i="4"/>
  <c r="E2" i="7"/>
  <c r="E5" i="7" s="1"/>
  <c r="F7" i="5"/>
  <c r="H10" i="4"/>
  <c r="H11" i="4"/>
  <c r="F2" i="6" s="1"/>
  <c r="H10" i="5"/>
  <c r="H4" i="5"/>
  <c r="F5" i="6" s="1"/>
  <c r="G12" i="5"/>
  <c r="G15" i="5" s="1"/>
  <c r="E6" i="6"/>
  <c r="E7" i="6" s="1"/>
  <c r="E9" i="6" s="1"/>
  <c r="D2" i="9" s="1"/>
  <c r="D4" i="9" s="1"/>
  <c r="D10" i="6"/>
  <c r="D11" i="6" s="1"/>
  <c r="E2" i="5"/>
  <c r="F3" i="7"/>
  <c r="F8" i="6"/>
  <c r="G4" i="7" l="1"/>
  <c r="G3" i="6"/>
  <c r="H12" i="5"/>
  <c r="H15" i="5" s="1"/>
  <c r="F6" i="6"/>
  <c r="F7" i="6" s="1"/>
  <c r="F9" i="6" s="1"/>
  <c r="E2" i="9" s="1"/>
  <c r="E4" i="9" s="1"/>
  <c r="I4" i="5"/>
  <c r="G5" i="6" s="1"/>
  <c r="I10" i="5"/>
  <c r="I4" i="4"/>
  <c r="I7" i="4" s="1"/>
  <c r="I9" i="4" s="1"/>
  <c r="E9" i="5"/>
  <c r="E6" i="5"/>
  <c r="E10" i="6"/>
  <c r="E11" i="6" s="1"/>
  <c r="F2" i="5"/>
  <c r="F6" i="5" s="1"/>
  <c r="F9" i="5" s="1"/>
  <c r="G3" i="7"/>
  <c r="G8" i="6"/>
  <c r="F2" i="7"/>
  <c r="F5" i="7" s="1"/>
  <c r="G7" i="5"/>
  <c r="E16" i="5" l="1"/>
  <c r="G6" i="6"/>
  <c r="I12" i="5"/>
  <c r="I15" i="5" s="1"/>
  <c r="F10" i="6"/>
  <c r="F11" i="6" s="1"/>
  <c r="G2" i="5"/>
  <c r="G6" i="5" s="1"/>
  <c r="G9" i="5" s="1"/>
  <c r="G2" i="7"/>
  <c r="G5" i="7" s="1"/>
  <c r="I7" i="5" s="1"/>
  <c r="H7" i="5"/>
  <c r="I10" i="4"/>
  <c r="I11" i="4" s="1"/>
  <c r="G2" i="6" s="1"/>
  <c r="G7" i="6" s="1"/>
  <c r="G9" i="6" s="1"/>
  <c r="F2" i="9" s="1"/>
  <c r="B8" i="9" l="1"/>
  <c r="B9" i="9" s="1"/>
  <c r="F4" i="9"/>
  <c r="G10" i="6"/>
  <c r="G11" i="6" s="1"/>
  <c r="I2" i="5" s="1"/>
  <c r="I6" i="5" s="1"/>
  <c r="I9" i="5" s="1"/>
  <c r="H2" i="5"/>
  <c r="H6" i="5" s="1"/>
  <c r="H9" i="5" s="1"/>
  <c r="F16" i="5"/>
  <c r="E17" i="5"/>
  <c r="E18" i="5" s="1"/>
  <c r="F17" i="5" l="1"/>
  <c r="F18" i="5" s="1"/>
  <c r="G16" i="5"/>
  <c r="B10" i="9"/>
  <c r="B6" i="10"/>
  <c r="E4" i="10"/>
  <c r="E7" i="10"/>
  <c r="C3" i="10"/>
  <c r="D3" i="10"/>
  <c r="C6" i="10"/>
  <c r="D6" i="10"/>
  <c r="E6" i="10"/>
  <c r="B7" i="10"/>
  <c r="B3" i="10"/>
  <c r="B4" i="10"/>
  <c r="C7" i="10"/>
  <c r="C4" i="10"/>
  <c r="D4" i="10"/>
  <c r="F4" i="10"/>
  <c r="F3" i="10"/>
  <c r="B5" i="10"/>
  <c r="E3" i="10"/>
  <c r="F7" i="10"/>
  <c r="F6" i="10"/>
  <c r="D7" i="10"/>
  <c r="C5" i="10"/>
  <c r="E5" i="10"/>
  <c r="D5" i="10"/>
  <c r="F5" i="10"/>
  <c r="H16" i="5" l="1"/>
  <c r="G17" i="5"/>
  <c r="G18" i="5" s="1"/>
  <c r="I16" i="5" l="1"/>
  <c r="I17" i="5" s="1"/>
  <c r="I18" i="5" s="1"/>
  <c r="H17" i="5"/>
  <c r="H18" i="5" s="1"/>
</calcChain>
</file>

<file path=xl/sharedStrings.xml><?xml version="1.0" encoding="utf-8"?>
<sst xmlns="http://schemas.openxmlformats.org/spreadsheetml/2006/main" count="198" uniqueCount="136">
  <si>
    <t>Item</t>
  </si>
  <si>
    <t>FY2023</t>
  </si>
  <si>
    <t>FY2024</t>
  </si>
  <si>
    <t>FY2025</t>
  </si>
  <si>
    <t>Revenue</t>
  </si>
  <si>
    <t>Cost of Revenue</t>
  </si>
  <si>
    <t>Gross Profit</t>
  </si>
  <si>
    <t>R&amp;D</t>
  </si>
  <si>
    <t>SG&amp;A</t>
  </si>
  <si>
    <t>Operating Income</t>
  </si>
  <si>
    <t>Other Income/(Expense)</t>
  </si>
  <si>
    <t>Pre-Tax Income</t>
  </si>
  <si>
    <t>Tax Provision</t>
  </si>
  <si>
    <t>Net Income</t>
  </si>
  <si>
    <t>Depreciation &amp; Amortization</t>
  </si>
  <si>
    <t>Capex</t>
  </si>
  <si>
    <t>Check</t>
  </si>
  <si>
    <t>Result</t>
  </si>
  <si>
    <t>Net Income FY2023</t>
  </si>
  <si>
    <t>Net Income FY2024</t>
  </si>
  <si>
    <t>Net Income FY2025</t>
  </si>
  <si>
    <t>https://www.sec.gov/ix?doc=/Archives/edgar/data/0000320193/000032019325000079/aapl-20250927.htm#fact-identifier-230</t>
  </si>
  <si>
    <t>Extracted historical income statement line items from Apple’s Consolidated Statements of Operations in Form 10-K filings (FY2023–FY2025).</t>
  </si>
  <si>
    <t>Reference:</t>
  </si>
  <si>
    <t xml:space="preserve">✔ </t>
  </si>
  <si>
    <t>Driver</t>
  </si>
  <si>
    <t>Value</t>
  </si>
  <si>
    <t>BLOCK 1 — REVENUE ASSUMPTIONS</t>
  </si>
  <si>
    <t>Revenue Growth FY2026</t>
  </si>
  <si>
    <t>Revenue Growth FY2027</t>
  </si>
  <si>
    <t>Revenue Growth FY2028</t>
  </si>
  <si>
    <t>Revenue Growth FY2029</t>
  </si>
  <si>
    <t>Revenue Growth FY2030</t>
  </si>
  <si>
    <t>BLOCK 2 — MARGIN ASSUMPTIONS</t>
  </si>
  <si>
    <t>COGS % Revenue</t>
  </si>
  <si>
    <t>R&amp;D % Revenue</t>
  </si>
  <si>
    <t>SG&amp;A % Revenue</t>
  </si>
  <si>
    <t>Interpretation:</t>
  </si>
  <si>
    <t>Lower margins = cost pressure</t>
  </si>
  <si>
    <t>Stable for Apple (important insight in interviews)</t>
  </si>
  <si>
    <t>Apple is a mature company → growth slows over time.</t>
  </si>
  <si>
    <t>BLOCK 3 — TAX ASSUMPTION</t>
  </si>
  <si>
    <t>Tax Rate</t>
  </si>
  <si>
    <t>Standard US corporate tax assumption</t>
  </si>
  <si>
    <t>BLOCK 4 — INVESTMENT ASSUMPTIONS</t>
  </si>
  <si>
    <t>Capex % Revenue</t>
  </si>
  <si>
    <t>Depreciation % Revenue</t>
  </si>
  <si>
    <t>Capex = reinvestment into infrastructure</t>
  </si>
  <si>
    <t>Depreciation = accounting expense spread</t>
  </si>
  <si>
    <t>BLOCK 5 — WORKING CAPITAL ASSUMPTIONS</t>
  </si>
  <si>
    <t>AR Days</t>
  </si>
  <si>
    <t>Inventory Days</t>
  </si>
  <si>
    <t>AP Days</t>
  </si>
  <si>
    <t>Meaning:</t>
  </si>
  <si>
    <t>AR = how fast Apple collects cash</t>
  </si>
  <si>
    <t>AP = how long Apple delays payments</t>
  </si>
  <si>
    <t>Inventory = how long stock sits</t>
  </si>
  <si>
    <t>BLOCK 6 — VALUATION ASSUMPTIONS (we use later for DCF)</t>
  </si>
  <si>
    <t>WACC</t>
  </si>
  <si>
    <t>Terminal Growth Rate</t>
  </si>
  <si>
    <t>Revenue forecast:</t>
  </si>
  <si>
    <t>FY2023A</t>
  </si>
  <si>
    <t>FY2024A</t>
  </si>
  <si>
    <t>FY2025A</t>
  </si>
  <si>
    <t>FY2026E</t>
  </si>
  <si>
    <t>FY2027E</t>
  </si>
  <si>
    <t>FY2028E</t>
  </si>
  <si>
    <t>FY2029E</t>
  </si>
  <si>
    <t>FY2030E</t>
  </si>
  <si>
    <t>CapEx</t>
  </si>
  <si>
    <t>Cash &amp; Equivalents</t>
  </si>
  <si>
    <t>Accounts Receivable</t>
  </si>
  <si>
    <t>Inventory</t>
  </si>
  <si>
    <t>Other Current Assets</t>
  </si>
  <si>
    <t>Total Current Assets</t>
  </si>
  <si>
    <t>PP&amp;E, Net</t>
  </si>
  <si>
    <t>Other Non-Current Assets</t>
  </si>
  <si>
    <t>Total Assets</t>
  </si>
  <si>
    <t>Accounts Payable</t>
  </si>
  <si>
    <t>Other Current Liabilities</t>
  </si>
  <si>
    <t>Total Current Liabilities</t>
  </si>
  <si>
    <t>Long-Term Debt</t>
  </si>
  <si>
    <t>Other Non-Current Liabilities</t>
  </si>
  <si>
    <t>Total Liabilities</t>
  </si>
  <si>
    <t>Shareholders' Equity</t>
  </si>
  <si>
    <t>Total Liabilities &amp; Equity</t>
  </si>
  <si>
    <t>Beginning PP&amp;E</t>
  </si>
  <si>
    <t>+ CapEx</t>
  </si>
  <si>
    <t>- Depreciation</t>
  </si>
  <si>
    <t>Ending PP&amp;E</t>
  </si>
  <si>
    <t xml:space="preserve">Balance Check </t>
  </si>
  <si>
    <t>+ Depreciation &amp; Amortization</t>
  </si>
  <si>
    <t>- Change in Accounts Receivable</t>
  </si>
  <si>
    <t>- Change in Inventory</t>
  </si>
  <si>
    <t>+ Change in Accounts Payable</t>
  </si>
  <si>
    <t>Cash Flow from Operations</t>
  </si>
  <si>
    <t>Free Cash Flow</t>
  </si>
  <si>
    <t>Beginning Cash</t>
  </si>
  <si>
    <t>Ending Cash</t>
  </si>
  <si>
    <r>
      <t>Source:</t>
    </r>
    <r>
      <rPr>
        <sz val="11"/>
        <color theme="1"/>
        <rFont val="Aptos Narrow"/>
        <family val="2"/>
        <scheme val="minor"/>
      </rPr>
      <t xml:space="preserve"> Apple's Annual Reports (Form 10-K) filed with the U.S. Securities and Exchange Commission (SEC).</t>
    </r>
  </si>
  <si>
    <t>Discount Factor</t>
  </si>
  <si>
    <t>Present Value of FCF</t>
  </si>
  <si>
    <t>Terminal Value</t>
  </si>
  <si>
    <t>PV of Terminal Value</t>
  </si>
  <si>
    <t>Enterprise Value</t>
  </si>
  <si>
    <t>Terminal Growth ↓ / WACC →</t>
  </si>
  <si>
    <t>Sensitivity Analysis – Enterprise Value ($ millions)</t>
  </si>
  <si>
    <t>APPLE INC.</t>
  </si>
  <si>
    <t>Integrated Three-Statement Financial Model &amp; DCF Valuation</t>
  </si>
  <si>
    <t xml:space="preserve">Model Components </t>
  </si>
  <si>
    <t>1. Historical Financial Analysis</t>
  </si>
  <si>
    <t>5. Cash Flow Statement Forecast</t>
  </si>
  <si>
    <t>6. Supporting Schedules</t>
  </si>
  <si>
    <t>7. Model Checks</t>
  </si>
  <si>
    <t>8. DCF Valuation</t>
  </si>
  <si>
    <t>9. Sensitivity Analysis</t>
  </si>
  <si>
    <t>Key Assumptions</t>
  </si>
  <si>
    <t>Assumption</t>
  </si>
  <si>
    <t>Forecast Period</t>
  </si>
  <si>
    <t>FY2026E–FY2030E</t>
  </si>
  <si>
    <t>Valuation Method</t>
  </si>
  <si>
    <t>DCF (Gordon Growth)</t>
  </si>
  <si>
    <t>Currency</t>
  </si>
  <si>
    <t>USD Millions</t>
  </si>
  <si>
    <t>2. Assumptions &amp; Forecast Drivers</t>
  </si>
  <si>
    <t>3. Income Statement Forecast</t>
  </si>
  <si>
    <t>4. Balance Sheet Forecast</t>
  </si>
  <si>
    <t xml:space="preserve">VALUATION SUMMARY </t>
  </si>
  <si>
    <t>Base Case Enterprise Value $1,520,796 Million</t>
  </si>
  <si>
    <t>Data Source</t>
  </si>
  <si>
    <t>Apple Inc. Form 10-K Filings (SEC EDGAR Database)</t>
  </si>
  <si>
    <t>Prepared By</t>
  </si>
  <si>
    <t>Date</t>
  </si>
  <si>
    <t>Purpose</t>
  </si>
  <si>
    <t>Academic Finance Project</t>
  </si>
  <si>
    <t>SMRITI K NARKHEDE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</si>
</sst>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0" formatCode="0.000"/>
    <numFmt numFmtId="174" formatCode="_(* #,##0_);_(* \(#,##0\);_(* &quot;-&quot;??_);_(@_)"/>
  </numFmts>
  <fonts count="9"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Aptos Narrow"/>
      <family val="2"/>
      <scheme val="minor"/>
    </font>
    <font>
      <sz val="18"/>
      <color theme="1"/>
      <name val="Aptos Narrow"/>
      <family val="2"/>
      <scheme val="minor"/>
    </font>
    <font>
      <b/>
      <sz val="24"/>
      <color theme="3" tint="9.9978637043366805E-2"/>
      <name val="Aptos Narrow"/>
      <family val="2"/>
      <scheme val="minor"/>
    </font>
    <font>
      <b/>
      <sz val="13.5"/>
      <color theme="1"/>
      <name val="Aptos Narrow"/>
      <family val="2"/>
      <scheme val="minor"/>
    </font>
    <font>
      <b/>
      <sz val="20"/>
      <color theme="9" tint="0.3999755851924192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3" fillId="0" borderId="0" applyFont="0" applyFill="0" applyBorder="0" applyAlignment="0" applyProtection="0"/>
  </cellStyleXfs>
  <cellXfs count="13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0" borderId="0" xfId="0" applyAlignment="1">
      <alignment horizontal="left" vertical="center" indent="1"/>
    </xf>
    <xf numFmtId="0" fontId="2" fillId="0" borderId="0" xfId="0" applyFont="1"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3" fontId="0" fillId="0" borderId="1" xfId="0" applyNumberFormat="1" applyBorder="1" applyAlignment="1">
      <alignment vertical="center" wrapText="1"/>
    </xf>
    <xf numFmtId="2" fontId="0" fillId="0" borderId="1" xfId="0" applyNumberFormat="1" applyBorder="1" applyAlignment="1">
      <alignment vertical="center" wrapText="1"/>
    </xf>
    <xf numFmtId="0" fontId="0" fillId="0" borderId="1" xfId="0" applyBorder="1"/>
    <xf numFmtId="3" fontId="0" fillId="0" borderId="1" xfId="0" applyNumberFormat="1" applyBorder="1"/>
    <xf numFmtId="3" fontId="0" fillId="0" borderId="2" xfId="0" applyNumberFormat="1" applyBorder="1"/>
    <xf numFmtId="0" fontId="1" fillId="0" borderId="3" xfId="0" applyFont="1" applyBorder="1"/>
    <xf numFmtId="0" fontId="1" fillId="0" borderId="4" xfId="0" applyFont="1" applyBorder="1"/>
    <xf numFmtId="0" fontId="1" fillId="0" borderId="5" xfId="0" applyFont="1" applyBorder="1"/>
    <xf numFmtId="0" fontId="0" fillId="0" borderId="6" xfId="0" applyBorder="1"/>
    <xf numFmtId="3" fontId="0" fillId="0" borderId="7" xfId="0" applyNumberFormat="1" applyBorder="1"/>
    <xf numFmtId="0" fontId="0" fillId="0" borderId="8" xfId="0" applyBorder="1"/>
    <xf numFmtId="3" fontId="0" fillId="0" borderId="9" xfId="0" applyNumberFormat="1" applyBorder="1"/>
    <xf numFmtId="0" fontId="0" fillId="0" borderId="10" xfId="0" applyBorder="1"/>
    <xf numFmtId="3" fontId="0" fillId="0" borderId="11" xfId="0" applyNumberFormat="1" applyBorder="1"/>
    <xf numFmtId="3" fontId="0" fillId="0" borderId="12" xfId="0" applyNumberFormat="1" applyBorder="1"/>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0" fillId="0" borderId="2" xfId="0" applyBorder="1" applyAlignment="1">
      <alignment vertical="center" wrapText="1"/>
    </xf>
    <xf numFmtId="3" fontId="0" fillId="0" borderId="2" xfId="0" applyNumberFormat="1" applyBorder="1" applyAlignment="1">
      <alignment vertical="center" wrapText="1"/>
    </xf>
    <xf numFmtId="2" fontId="0" fillId="0" borderId="2" xfId="0" applyNumberForma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6" xfId="0" applyBorder="1" applyAlignment="1">
      <alignment vertical="center" wrapText="1"/>
    </xf>
    <xf numFmtId="2" fontId="0" fillId="0" borderId="7" xfId="0" applyNumberFormat="1" applyBorder="1" applyAlignment="1">
      <alignment vertical="center" wrapText="1"/>
    </xf>
    <xf numFmtId="0" fontId="0" fillId="0" borderId="8" xfId="0" applyBorder="1" applyAlignment="1">
      <alignment vertical="center" wrapText="1"/>
    </xf>
    <xf numFmtId="2" fontId="0" fillId="0" borderId="9" xfId="0" applyNumberFormat="1" applyBorder="1" applyAlignment="1">
      <alignment vertical="center" wrapText="1"/>
    </xf>
    <xf numFmtId="0" fontId="0" fillId="0" borderId="9" xfId="0" applyBorder="1" applyAlignment="1">
      <alignment vertical="center" wrapText="1"/>
    </xf>
    <xf numFmtId="0" fontId="0" fillId="0" borderId="9" xfId="0" applyBorder="1"/>
    <xf numFmtId="0" fontId="0" fillId="0" borderId="10" xfId="0" applyBorder="1" applyAlignment="1">
      <alignment vertical="center" wrapText="1"/>
    </xf>
    <xf numFmtId="3" fontId="0" fillId="0" borderId="11" xfId="0" applyNumberFormat="1" applyBorder="1" applyAlignment="1">
      <alignment vertical="center" wrapText="1"/>
    </xf>
    <xf numFmtId="0" fontId="0" fillId="0" borderId="11" xfId="0" applyBorder="1"/>
    <xf numFmtId="0" fontId="0" fillId="0" borderId="12" xfId="0" applyBorder="1"/>
    <xf numFmtId="3" fontId="0" fillId="0" borderId="1" xfId="0" applyNumberFormat="1" applyBorder="1" applyAlignment="1">
      <alignment horizontal="right" vertical="center" wrapText="1"/>
    </xf>
    <xf numFmtId="0" fontId="1" fillId="0" borderId="2" xfId="0" applyFont="1" applyBorder="1" applyAlignment="1">
      <alignment horizontal="right" vertical="center" wrapText="1"/>
    </xf>
    <xf numFmtId="3" fontId="0" fillId="0" borderId="9" xfId="0" applyNumberFormat="1" applyBorder="1" applyAlignment="1">
      <alignment horizontal="right" vertical="center" wrapText="1"/>
    </xf>
    <xf numFmtId="3" fontId="0" fillId="0" borderId="9" xfId="0" applyNumberFormat="1" applyBorder="1" applyAlignment="1">
      <alignment vertical="center" wrapText="1"/>
    </xf>
    <xf numFmtId="0" fontId="1" fillId="0" borderId="8" xfId="0" applyFont="1" applyBorder="1" applyAlignment="1">
      <alignment vertical="center" wrapText="1"/>
    </xf>
    <xf numFmtId="3" fontId="0" fillId="0" borderId="12" xfId="0" applyNumberFormat="1" applyBorder="1" applyAlignment="1">
      <alignment vertical="center" wrapText="1"/>
    </xf>
    <xf numFmtId="3" fontId="0" fillId="0" borderId="7" xfId="0" applyNumberFormat="1" applyBorder="1" applyAlignment="1">
      <alignment vertical="center" wrapText="1"/>
    </xf>
    <xf numFmtId="170" fontId="0" fillId="0" borderId="1" xfId="0" applyNumberFormat="1" applyBorder="1" applyAlignment="1">
      <alignment vertical="center" wrapText="1"/>
    </xf>
    <xf numFmtId="0" fontId="0" fillId="0" borderId="6" xfId="0" applyBorder="1" applyAlignment="1">
      <alignment vertical="top" wrapText="1"/>
    </xf>
    <xf numFmtId="0" fontId="0" fillId="0" borderId="8" xfId="0" applyBorder="1" applyAlignment="1">
      <alignment vertical="top" wrapText="1"/>
    </xf>
    <xf numFmtId="170" fontId="0" fillId="0" borderId="9" xfId="0" applyNumberFormat="1" applyBorder="1" applyAlignment="1">
      <alignment vertical="center" wrapText="1"/>
    </xf>
    <xf numFmtId="0" fontId="0" fillId="0" borderId="10" xfId="0" applyBorder="1" applyAlignment="1">
      <alignment vertical="top" wrapText="1"/>
    </xf>
    <xf numFmtId="0" fontId="0" fillId="0" borderId="11" xfId="0" applyBorder="1" applyAlignment="1">
      <alignment vertical="center" wrapText="1"/>
    </xf>
    <xf numFmtId="0" fontId="0" fillId="0" borderId="12" xfId="0" applyBorder="1" applyAlignment="1">
      <alignment vertical="center" wrapText="1"/>
    </xf>
    <xf numFmtId="0" fontId="0" fillId="0" borderId="7" xfId="0" applyBorder="1" applyAlignment="1">
      <alignment vertical="center"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43" fontId="1" fillId="0" borderId="3" xfId="1" applyNumberFormat="1" applyFont="1" applyBorder="1" applyAlignment="1">
      <alignment horizontal="center" vertical="center" wrapText="1"/>
    </xf>
    <xf numFmtId="174" fontId="0" fillId="0" borderId="2" xfId="1" applyNumberFormat="1" applyFont="1" applyBorder="1" applyAlignment="1">
      <alignment vertical="center" wrapText="1"/>
    </xf>
    <xf numFmtId="174" fontId="0" fillId="0" borderId="7" xfId="1" applyNumberFormat="1" applyFont="1" applyBorder="1" applyAlignment="1">
      <alignment vertical="center" wrapText="1"/>
    </xf>
    <xf numFmtId="174" fontId="0" fillId="0" borderId="1" xfId="1" applyNumberFormat="1" applyFont="1" applyBorder="1" applyAlignment="1">
      <alignment vertical="center" wrapText="1"/>
    </xf>
    <xf numFmtId="174" fontId="0" fillId="0" borderId="9" xfId="1" applyNumberFormat="1" applyFont="1" applyBorder="1" applyAlignment="1">
      <alignment vertical="center" wrapText="1"/>
    </xf>
    <xf numFmtId="174" fontId="0" fillId="0" borderId="11" xfId="1" applyNumberFormat="1" applyFont="1" applyBorder="1" applyAlignment="1">
      <alignment vertical="center" wrapText="1"/>
    </xf>
    <xf numFmtId="174" fontId="0" fillId="0" borderId="12" xfId="1" applyNumberFormat="1" applyFont="1" applyBorder="1" applyAlignment="1">
      <alignment vertical="center" wrapText="1"/>
    </xf>
    <xf numFmtId="10" fontId="1" fillId="0" borderId="4" xfId="1" applyNumberFormat="1" applyFont="1" applyBorder="1" applyAlignment="1">
      <alignment horizontal="center" vertical="center" wrapText="1"/>
    </xf>
    <xf numFmtId="10" fontId="1" fillId="0" borderId="5" xfId="1" applyNumberFormat="1" applyFont="1" applyBorder="1" applyAlignment="1">
      <alignment horizontal="center" vertical="center" wrapText="1"/>
    </xf>
    <xf numFmtId="10" fontId="1" fillId="0" borderId="6" xfId="1" applyNumberFormat="1" applyFont="1" applyBorder="1" applyAlignment="1">
      <alignment horizontal="center" vertical="center" wrapText="1"/>
    </xf>
    <xf numFmtId="10" fontId="1" fillId="0" borderId="8" xfId="1" applyNumberFormat="1" applyFont="1" applyBorder="1" applyAlignment="1">
      <alignment horizontal="center" vertical="center" wrapText="1"/>
    </xf>
    <xf numFmtId="10" fontId="1" fillId="0" borderId="10" xfId="1" applyNumberFormat="1" applyFont="1" applyBorder="1" applyAlignment="1">
      <alignment horizontal="center" vertical="center" wrapText="1"/>
    </xf>
    <xf numFmtId="174" fontId="1" fillId="3" borderId="1" xfId="1" applyNumberFormat="1" applyFont="1" applyFill="1" applyBorder="1" applyAlignment="1">
      <alignment vertical="center" wrapText="1"/>
    </xf>
    <xf numFmtId="0" fontId="6" fillId="0" borderId="0" xfId="0" applyFont="1" applyAlignment="1">
      <alignment vertical="center"/>
    </xf>
    <xf numFmtId="0" fontId="1" fillId="0" borderId="3" xfId="0" applyFont="1" applyBorder="1" applyAlignment="1">
      <alignment horizontal="center" vertical="top" wrapText="1"/>
    </xf>
    <xf numFmtId="0" fontId="1" fillId="0" borderId="5" xfId="0" applyFont="1" applyBorder="1" applyAlignment="1">
      <alignment horizontal="center" vertical="top" wrapText="1"/>
    </xf>
    <xf numFmtId="0" fontId="0" fillId="0" borderId="7" xfId="0" applyBorder="1" applyAlignment="1">
      <alignment vertical="top" wrapText="1"/>
    </xf>
    <xf numFmtId="10" fontId="0" fillId="0" borderId="9" xfId="0" applyNumberFormat="1" applyBorder="1" applyAlignment="1">
      <alignment horizontal="left" vertical="top" wrapText="1"/>
    </xf>
    <xf numFmtId="0" fontId="0" fillId="0" borderId="9" xfId="0" applyBorder="1" applyAlignment="1">
      <alignment vertical="top" wrapText="1"/>
    </xf>
    <xf numFmtId="0" fontId="0" fillId="0" borderId="12" xfId="0" applyBorder="1" applyAlignment="1">
      <alignment vertical="top" wrapText="1"/>
    </xf>
    <xf numFmtId="0" fontId="0" fillId="0" borderId="0" xfId="0" applyBorder="1" applyAlignment="1">
      <alignment horizontal="center"/>
    </xf>
    <xf numFmtId="0" fontId="0" fillId="0" borderId="19" xfId="0" applyBorder="1" applyAlignment="1">
      <alignment horizontal="left" vertical="top"/>
    </xf>
    <xf numFmtId="0" fontId="0" fillId="0" borderId="0" xfId="0" applyBorder="1" applyAlignment="1">
      <alignment horizontal="left" vertical="top"/>
    </xf>
    <xf numFmtId="0" fontId="0" fillId="0" borderId="20" xfId="0" applyBorder="1" applyAlignment="1">
      <alignment horizontal="left" vertical="top"/>
    </xf>
    <xf numFmtId="0" fontId="0" fillId="0" borderId="19" xfId="0" applyBorder="1" applyAlignment="1">
      <alignment horizontal="left"/>
    </xf>
    <xf numFmtId="0" fontId="0" fillId="0" borderId="0"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1" fillId="0" borderId="0" xfId="0" applyFont="1" applyBorder="1" applyAlignment="1">
      <alignment horizontal="center"/>
    </xf>
    <xf numFmtId="0" fontId="0" fillId="0" borderId="1" xfId="0" applyBorder="1" applyAlignment="1">
      <alignment horizontal="center" vertical="center" wrapText="1"/>
    </xf>
    <xf numFmtId="17" fontId="0" fillId="0" borderId="1" xfId="0" applyNumberFormat="1" applyBorder="1" applyAlignment="1">
      <alignment horizontal="center" vertical="center" wrapText="1"/>
    </xf>
    <xf numFmtId="0" fontId="7" fillId="0" borderId="0" xfId="0" applyFont="1" applyBorder="1" applyAlignment="1"/>
    <xf numFmtId="0" fontId="1" fillId="0" borderId="0" xfId="0" applyFont="1" applyBorder="1" applyAlignment="1"/>
    <xf numFmtId="0" fontId="2" fillId="0" borderId="0" xfId="0" applyFont="1" applyBorder="1" applyAlignment="1">
      <alignment horizontal="center"/>
    </xf>
    <xf numFmtId="9" fontId="0" fillId="2" borderId="2" xfId="0" applyNumberFormat="1" applyFill="1" applyBorder="1" applyAlignment="1">
      <alignment vertical="center" wrapText="1"/>
    </xf>
    <xf numFmtId="9" fontId="0" fillId="2" borderId="7" xfId="0" applyNumberFormat="1" applyFill="1" applyBorder="1" applyAlignment="1">
      <alignment vertical="center" wrapText="1"/>
    </xf>
    <xf numFmtId="9" fontId="0" fillId="2" borderId="9" xfId="0" applyNumberFormat="1" applyFill="1" applyBorder="1" applyAlignment="1">
      <alignment vertical="center" wrapText="1"/>
    </xf>
    <xf numFmtId="10" fontId="0" fillId="2" borderId="9" xfId="0" applyNumberFormat="1" applyFill="1" applyBorder="1" applyAlignment="1">
      <alignment vertical="center" wrapText="1"/>
    </xf>
    <xf numFmtId="10" fontId="0" fillId="2" borderId="12" xfId="0" applyNumberFormat="1" applyFill="1" applyBorder="1" applyAlignment="1">
      <alignment vertical="center" wrapText="1"/>
    </xf>
    <xf numFmtId="9" fontId="0" fillId="2" borderId="12" xfId="0" applyNumberFormat="1"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wrapText="1"/>
    </xf>
    <xf numFmtId="0" fontId="0" fillId="2" borderId="12" xfId="0" applyFill="1" applyBorder="1" applyAlignment="1">
      <alignment vertical="center" wrapText="1"/>
    </xf>
    <xf numFmtId="0" fontId="8" fillId="0" borderId="0" xfId="0" applyFont="1" applyAlignment="1">
      <alignment vertic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0" xfId="0" applyFont="1" applyBorder="1" applyAlignment="1">
      <alignment horizontal="center"/>
    </xf>
    <xf numFmtId="0" fontId="5" fillId="0" borderId="20" xfId="0" applyFont="1" applyBorder="1" applyAlignment="1">
      <alignment horizontal="center"/>
    </xf>
    <xf numFmtId="0" fontId="4" fillId="0" borderId="19" xfId="0" applyFont="1" applyBorder="1" applyAlignment="1">
      <alignment horizontal="center"/>
    </xf>
    <xf numFmtId="0" fontId="4" fillId="0" borderId="0" xfId="0" applyFont="1" applyBorder="1" applyAlignment="1">
      <alignment horizontal="center"/>
    </xf>
    <xf numFmtId="0" fontId="4" fillId="0" borderId="20" xfId="0" applyFont="1" applyBorder="1" applyAlignment="1">
      <alignment horizontal="center"/>
    </xf>
    <xf numFmtId="0" fontId="0" fillId="0" borderId="19" xfId="0" applyBorder="1"/>
    <xf numFmtId="0" fontId="0" fillId="0" borderId="20" xfId="0" applyBorder="1"/>
    <xf numFmtId="0" fontId="0" fillId="0" borderId="19" xfId="0" applyBorder="1" applyAlignment="1">
      <alignment vertical="top"/>
    </xf>
    <xf numFmtId="0" fontId="0" fillId="0" borderId="0" xfId="0" applyBorder="1" applyAlignment="1">
      <alignment vertical="top"/>
    </xf>
    <xf numFmtId="0" fontId="0" fillId="0" borderId="20" xfId="0" applyBorder="1" applyAlignment="1">
      <alignment vertical="top"/>
    </xf>
    <xf numFmtId="0" fontId="1" fillId="0" borderId="20" xfId="0" applyFont="1" applyBorder="1" applyAlignment="1"/>
    <xf numFmtId="0" fontId="0" fillId="0" borderId="21" xfId="0" applyBorder="1"/>
    <xf numFmtId="0" fontId="0" fillId="0" borderId="22" xfId="0" applyBorder="1"/>
    <xf numFmtId="0" fontId="0" fillId="0" borderId="23" xfId="0" applyBorder="1"/>
  </cellXfs>
  <cellStyles count="2">
    <cellStyle name="Comma" xfId="1" builtinId="3"/>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12</xdr:col>
      <xdr:colOff>7620</xdr:colOff>
      <xdr:row>12</xdr:row>
      <xdr:rowOff>7620</xdr:rowOff>
    </xdr:to>
    <xdr:sp macro="" textlink="">
      <xdr:nvSpPr>
        <xdr:cNvPr id="2" name="TextBox 1">
          <a:extLst>
            <a:ext uri="{FF2B5EF4-FFF2-40B4-BE49-F238E27FC236}">
              <a16:creationId xmlns:a16="http://schemas.microsoft.com/office/drawing/2014/main" id="{FA1AA0FD-6C26-B691-B16D-BB9EC5866A2A}"/>
            </a:ext>
          </a:extLst>
        </xdr:cNvPr>
        <xdr:cNvSpPr txBox="1"/>
      </xdr:nvSpPr>
      <xdr:spPr>
        <a:xfrm>
          <a:off x="0" y="1097280"/>
          <a:ext cx="732282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Project Overview:</a:t>
          </a:r>
          <a:br>
            <a:rPr lang="en-US" sz="1400" b="1"/>
          </a:br>
          <a:endParaRPr lang="en-US" sz="1400" b="1"/>
        </a:p>
        <a:p>
          <a:r>
            <a:rPr lang="en-US" sz="1200"/>
            <a:t>This project develops an integrated financial model for Apple Inc. using historical financial statements and forecast assumptions. The model includes projected Income Statement, Balance Sheet, Cash Flow Statement, Discounted Cash Flow (DCF) valuation, and Sensitivity Analysis to estimate the intrinsic value of the company.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0</xdr:row>
      <xdr:rowOff>68580</xdr:rowOff>
    </xdr:from>
    <xdr:to>
      <xdr:col>12</xdr:col>
      <xdr:colOff>312420</xdr:colOff>
      <xdr:row>7</xdr:row>
      <xdr:rowOff>91440</xdr:rowOff>
    </xdr:to>
    <xdr:sp macro="" textlink="">
      <xdr:nvSpPr>
        <xdr:cNvPr id="2" name="TextBox 1">
          <a:extLst>
            <a:ext uri="{FF2B5EF4-FFF2-40B4-BE49-F238E27FC236}">
              <a16:creationId xmlns:a16="http://schemas.microsoft.com/office/drawing/2014/main" id="{4EAEFA21-BA29-9EC4-7806-463D248A0D31}"/>
            </a:ext>
          </a:extLst>
        </xdr:cNvPr>
        <xdr:cNvSpPr txBox="1"/>
      </xdr:nvSpPr>
      <xdr:spPr>
        <a:xfrm>
          <a:off x="4084320" y="68580"/>
          <a:ext cx="4556760" cy="131064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Arial" panose="020B0604020202020204" pitchFamily="34" charset="0"/>
              <a:cs typeface="Arial" panose="020B0604020202020204" pitchFamily="34" charset="0"/>
            </a:rPr>
            <a:t>This</a:t>
          </a:r>
          <a:r>
            <a:rPr lang="en-US" sz="1100" baseline="0">
              <a:latin typeface="Arial" panose="020B0604020202020204" pitchFamily="34" charset="0"/>
              <a:cs typeface="Arial" panose="020B0604020202020204" pitchFamily="34" charset="0"/>
            </a:rPr>
            <a:t> sheet presents Apple's historical financial performance for FY 2023-FY 2025, extracted from the company's SEC Form 10-K filings. The historical data serves as the foundation for forecasting future financial performance and building the three-statement model. Key income statement line items, including revenue, profitability, operating expenses and investment metrics are analyzed to identify historical trends and support forecast assumptions. </a:t>
          </a:r>
          <a:endParaRPr lang="en-US" sz="11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12</xdr:row>
      <xdr:rowOff>160020</xdr:rowOff>
    </xdr:from>
    <xdr:to>
      <xdr:col>2</xdr:col>
      <xdr:colOff>15240</xdr:colOff>
      <xdr:row>21</xdr:row>
      <xdr:rowOff>160020</xdr:rowOff>
    </xdr:to>
    <xdr:sp macro="" textlink="">
      <xdr:nvSpPr>
        <xdr:cNvPr id="2" name="TextBox 1">
          <a:extLst>
            <a:ext uri="{FF2B5EF4-FFF2-40B4-BE49-F238E27FC236}">
              <a16:creationId xmlns:a16="http://schemas.microsoft.com/office/drawing/2014/main" id="{06839A1F-B65E-2B08-71CF-F70BA0E2E34E}"/>
            </a:ext>
          </a:extLst>
        </xdr:cNvPr>
        <xdr:cNvSpPr txBox="1"/>
      </xdr:nvSpPr>
      <xdr:spPr>
        <a:xfrm>
          <a:off x="7620" y="2537460"/>
          <a:ext cx="2194560" cy="164592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Revenue</a:t>
          </a:r>
          <a:r>
            <a:rPr lang="en-US" sz="1200" baseline="0"/>
            <a:t> growth assumptions estimate Apple's future sales growth. Since Apple is a mature company, growth rates are assumed to gradually decline over time, reflecting market saturation and a stable- long term growth profile. </a:t>
          </a:r>
        </a:p>
      </xdr:txBody>
    </xdr:sp>
    <xdr:clientData/>
  </xdr:twoCellAnchor>
  <xdr:twoCellAnchor>
    <xdr:from>
      <xdr:col>5</xdr:col>
      <xdr:colOff>0</xdr:colOff>
      <xdr:row>11</xdr:row>
      <xdr:rowOff>38100</xdr:rowOff>
    </xdr:from>
    <xdr:to>
      <xdr:col>8</xdr:col>
      <xdr:colOff>121920</xdr:colOff>
      <xdr:row>20</xdr:row>
      <xdr:rowOff>53340</xdr:rowOff>
    </xdr:to>
    <xdr:sp macro="" textlink="">
      <xdr:nvSpPr>
        <xdr:cNvPr id="3" name="TextBox 2">
          <a:extLst>
            <a:ext uri="{FF2B5EF4-FFF2-40B4-BE49-F238E27FC236}">
              <a16:creationId xmlns:a16="http://schemas.microsoft.com/office/drawing/2014/main" id="{D209FA28-F15C-64F8-9DF5-1916F63F74B0}"/>
            </a:ext>
          </a:extLst>
        </xdr:cNvPr>
        <xdr:cNvSpPr txBox="1"/>
      </xdr:nvSpPr>
      <xdr:spPr>
        <a:xfrm>
          <a:off x="4015740" y="2232660"/>
          <a:ext cx="2468880" cy="16611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Margin assumptions estimate the relationship between revenue and operating expenses. Historical profitability trends are analyzed to forecast Cost of Goods Sold (COGS), R&amp;D expenses, and SG&amp;A expenses as a percentage of revenue.</a:t>
          </a:r>
        </a:p>
      </xdr:txBody>
    </xdr:sp>
    <xdr:clientData/>
  </xdr:twoCellAnchor>
  <xdr:twoCellAnchor>
    <xdr:from>
      <xdr:col>8</xdr:col>
      <xdr:colOff>594360</xdr:colOff>
      <xdr:row>7</xdr:row>
      <xdr:rowOff>22860</xdr:rowOff>
    </xdr:from>
    <xdr:to>
      <xdr:col>12</xdr:col>
      <xdr:colOff>167640</xdr:colOff>
      <xdr:row>16</xdr:row>
      <xdr:rowOff>7620</xdr:rowOff>
    </xdr:to>
    <xdr:sp macro="" textlink="">
      <xdr:nvSpPr>
        <xdr:cNvPr id="4" name="TextBox 3">
          <a:extLst>
            <a:ext uri="{FF2B5EF4-FFF2-40B4-BE49-F238E27FC236}">
              <a16:creationId xmlns:a16="http://schemas.microsoft.com/office/drawing/2014/main" id="{EB688262-BE8E-D2AB-E92E-78B7F32E022A}"/>
            </a:ext>
          </a:extLst>
        </xdr:cNvPr>
        <xdr:cNvSpPr txBox="1"/>
      </xdr:nvSpPr>
      <xdr:spPr>
        <a:xfrm>
          <a:off x="6957060" y="1463040"/>
          <a:ext cx="2011680" cy="165354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effective tax rate assumption is used to estimate future tax expenses. A stable tax rate is assumed based on Apple's historical effective tax rate and prevailing corporate tax regulations.</a:t>
          </a:r>
        </a:p>
      </xdr:txBody>
    </xdr:sp>
    <xdr:clientData/>
  </xdr:twoCellAnchor>
  <xdr:twoCellAnchor>
    <xdr:from>
      <xdr:col>13</xdr:col>
      <xdr:colOff>220980</xdr:colOff>
      <xdr:row>9</xdr:row>
      <xdr:rowOff>160020</xdr:rowOff>
    </xdr:from>
    <xdr:to>
      <xdr:col>14</xdr:col>
      <xdr:colOff>228600</xdr:colOff>
      <xdr:row>19</xdr:row>
      <xdr:rowOff>60960</xdr:rowOff>
    </xdr:to>
    <xdr:sp macro="" textlink="">
      <xdr:nvSpPr>
        <xdr:cNvPr id="5" name="TextBox 4">
          <a:extLst>
            <a:ext uri="{FF2B5EF4-FFF2-40B4-BE49-F238E27FC236}">
              <a16:creationId xmlns:a16="http://schemas.microsoft.com/office/drawing/2014/main" id="{0233146C-512B-DDF0-5E81-A6126CEC9ADC}"/>
            </a:ext>
          </a:extLst>
        </xdr:cNvPr>
        <xdr:cNvSpPr txBox="1"/>
      </xdr:nvSpPr>
      <xdr:spPr>
        <a:xfrm>
          <a:off x="9631680" y="1988820"/>
          <a:ext cx="2301240" cy="172974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Investment assumptions forecast future capital expenditures and depreciation expenses as percentages of revenue. These assumptions reflect Apple's ongoing investments in infrastructure, technology, and operational capacity.</a:t>
          </a:r>
        </a:p>
      </xdr:txBody>
    </xdr:sp>
    <xdr:clientData/>
  </xdr:twoCellAnchor>
  <xdr:twoCellAnchor>
    <xdr:from>
      <xdr:col>16</xdr:col>
      <xdr:colOff>53340</xdr:colOff>
      <xdr:row>12</xdr:row>
      <xdr:rowOff>22860</xdr:rowOff>
    </xdr:from>
    <xdr:to>
      <xdr:col>16</xdr:col>
      <xdr:colOff>2209800</xdr:colOff>
      <xdr:row>19</xdr:row>
      <xdr:rowOff>167640</xdr:rowOff>
    </xdr:to>
    <xdr:sp macro="" textlink="">
      <xdr:nvSpPr>
        <xdr:cNvPr id="6" name="TextBox 5">
          <a:extLst>
            <a:ext uri="{FF2B5EF4-FFF2-40B4-BE49-F238E27FC236}">
              <a16:creationId xmlns:a16="http://schemas.microsoft.com/office/drawing/2014/main" id="{0FB49026-4A37-9384-EEC6-BB936EA2625B}"/>
            </a:ext>
          </a:extLst>
        </xdr:cNvPr>
        <xdr:cNvSpPr txBox="1"/>
      </xdr:nvSpPr>
      <xdr:spPr>
        <a:xfrm>
          <a:off x="12976860" y="2400300"/>
          <a:ext cx="2156460" cy="14249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Working capital assumptions estimate how efficiently Apple manages receivables, inventory, and payables. These metrics are used to forecast changes in working capital and their impact on cash flows.</a:t>
          </a:r>
        </a:p>
      </xdr:txBody>
    </xdr:sp>
    <xdr:clientData/>
  </xdr:twoCellAnchor>
  <xdr:twoCellAnchor>
    <xdr:from>
      <xdr:col>20</xdr:col>
      <xdr:colOff>464820</xdr:colOff>
      <xdr:row>5</xdr:row>
      <xdr:rowOff>53340</xdr:rowOff>
    </xdr:from>
    <xdr:to>
      <xdr:col>21</xdr:col>
      <xdr:colOff>281940</xdr:colOff>
      <xdr:row>13</xdr:row>
      <xdr:rowOff>175260</xdr:rowOff>
    </xdr:to>
    <xdr:sp macro="" textlink="">
      <xdr:nvSpPr>
        <xdr:cNvPr id="7" name="TextBox 6">
          <a:extLst>
            <a:ext uri="{FF2B5EF4-FFF2-40B4-BE49-F238E27FC236}">
              <a16:creationId xmlns:a16="http://schemas.microsoft.com/office/drawing/2014/main" id="{FC1C9ABC-0A45-51D0-8C76-66988A901210}"/>
            </a:ext>
          </a:extLst>
        </xdr:cNvPr>
        <xdr:cNvSpPr txBox="1"/>
      </xdr:nvSpPr>
      <xdr:spPr>
        <a:xfrm>
          <a:off x="17861280" y="1089660"/>
          <a:ext cx="2057400" cy="164592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Valuation assumptions, including the Weighted Average Cost of Capital (WACC) and Terminal Growth Rate, are used in the Discounted Cash Flow (DCF) valuation to estimate Apple's intrinsic enterprise value.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15</xdr:row>
      <xdr:rowOff>30480</xdr:rowOff>
    </xdr:from>
    <xdr:to>
      <xdr:col>9</xdr:col>
      <xdr:colOff>15240</xdr:colOff>
      <xdr:row>21</xdr:row>
      <xdr:rowOff>7620</xdr:rowOff>
    </xdr:to>
    <xdr:sp macro="" textlink="">
      <xdr:nvSpPr>
        <xdr:cNvPr id="2" name="TextBox 1">
          <a:extLst>
            <a:ext uri="{FF2B5EF4-FFF2-40B4-BE49-F238E27FC236}">
              <a16:creationId xmlns:a16="http://schemas.microsoft.com/office/drawing/2014/main" id="{1BE6E358-4397-3971-BE82-B1F23DC74A62}"/>
            </a:ext>
          </a:extLst>
        </xdr:cNvPr>
        <xdr:cNvSpPr txBox="1"/>
      </xdr:nvSpPr>
      <xdr:spPr>
        <a:xfrm>
          <a:off x="7620" y="3154680"/>
          <a:ext cx="7010400" cy="11887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INCOME</a:t>
          </a:r>
          <a:r>
            <a:rPr lang="en-US" sz="1100" b="1" baseline="0"/>
            <a:t> STATEMENT INTERPRETATION:</a:t>
          </a:r>
        </a:p>
        <a:p>
          <a:endParaRPr lang="en-US" sz="1100" baseline="0"/>
        </a:p>
        <a:p>
          <a:r>
            <a:rPr lang="en-US" b="1"/>
            <a:t>Interpretation:</a:t>
          </a:r>
          <a:r>
            <a:rPr lang="en-US"/>
            <a:t> The projected Income Statement reflects steady revenue and earnings growth throughout the forecast period. Increasing operating income and net income indicate strong profitability, while gradual growth in R&amp;D and SG&amp;A expenses suggests continued investment in innovation and business expansion. Overall, the forecasts highlight Apple's ability to sustain long-term growth and generate strong financial performance.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0</xdr:row>
      <xdr:rowOff>68580</xdr:rowOff>
    </xdr:from>
    <xdr:to>
      <xdr:col>21</xdr:col>
      <xdr:colOff>480060</xdr:colOff>
      <xdr:row>17</xdr:row>
      <xdr:rowOff>30480</xdr:rowOff>
    </xdr:to>
    <xdr:sp macro="" textlink="">
      <xdr:nvSpPr>
        <xdr:cNvPr id="2" name="TextBox 1">
          <a:extLst>
            <a:ext uri="{FF2B5EF4-FFF2-40B4-BE49-F238E27FC236}">
              <a16:creationId xmlns:a16="http://schemas.microsoft.com/office/drawing/2014/main" id="{F2EFB0A9-1AFB-6744-18F2-810FCD7064CA}"/>
            </a:ext>
          </a:extLst>
        </xdr:cNvPr>
        <xdr:cNvSpPr txBox="1"/>
      </xdr:nvSpPr>
      <xdr:spPr>
        <a:xfrm>
          <a:off x="6720840" y="68580"/>
          <a:ext cx="7185660" cy="38557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Balance Sheet Interpretation:</a:t>
          </a:r>
        </a:p>
        <a:p>
          <a:endParaRPr lang="en-US"/>
        </a:p>
        <a:p>
          <a:r>
            <a:rPr lang="en-US" sz="1100"/>
            <a:t>The forecasted Balance Sheet indicates a significant strengthening of Apple Inc.'s financial position over the forecast period. Total Assets are projected to increase from approximately </a:t>
          </a:r>
          <a:r>
            <a:rPr lang="en-US" sz="1100" b="1"/>
            <a:t>$545.1 billion in FY2026E to $1.01 trillion in FY2030E</a:t>
          </a:r>
          <a:r>
            <a:rPr lang="en-US" sz="1100"/>
            <a:t>, primarily driven by substantial growth in Cash &amp; Equivalents and continued investment in Property, Plant &amp; Equipment (PP&amp;E).</a:t>
          </a:r>
        </a:p>
        <a:p>
          <a:endParaRPr lang="en-US" sz="1100"/>
        </a:p>
        <a:p>
          <a:r>
            <a:rPr lang="en-US" sz="1100"/>
            <a:t>Cash &amp; Equivalents are expected to increase considerably, rising from </a:t>
          </a:r>
          <a:r>
            <a:rPr lang="en-US" sz="1100" b="1"/>
            <a:t>$215.2 billion in FY2026E to $633.2 billion in FY2030E</a:t>
          </a:r>
          <a:r>
            <a:rPr lang="en-US" sz="1100"/>
            <a:t>, reflecting Apple's strong free cash flow generation and robust liquidity position. Accounts Receivable and Inventory are projected to grow gradually in line with revenue growth, indicating efficient working capital management.</a:t>
          </a:r>
        </a:p>
        <a:p>
          <a:endParaRPr lang="en-US" sz="1100"/>
        </a:p>
        <a:p>
          <a:r>
            <a:rPr lang="en-US" sz="1100"/>
            <a:t>On the liabilities side, Total Liabilities remain relatively stable throughout the forecast period, suggesting disciplined debt management and a conservative capital structure. Long-Term Debt is assumed to remain constant, while current liabilities increase modestly to support operational growth.</a:t>
          </a:r>
        </a:p>
        <a:p>
          <a:endParaRPr lang="en-US" sz="1100"/>
        </a:p>
        <a:p>
          <a:r>
            <a:rPr lang="en-US" sz="1100"/>
            <a:t>Shareholders' Equity is forecasted to grow substantially from </a:t>
          </a:r>
          <a:r>
            <a:rPr lang="en-US" sz="1100" b="1"/>
            <a:t>$273.0 billion in FY2026E to $734.9 billion in FY2030E</a:t>
          </a:r>
          <a:r>
            <a:rPr lang="en-US" sz="1100"/>
            <a:t>, primarily due to the accumulation of retained earnings generated by strong profitability. This growth reflects the company's ability to create shareholder value over time.</a:t>
          </a:r>
        </a:p>
        <a:p>
          <a:endParaRPr lang="en-US" sz="1100"/>
        </a:p>
        <a:p>
          <a:r>
            <a:rPr lang="en-US" sz="1100"/>
            <a:t>Overall, the projected Balance Sheet demonstrates strong liquidity, financial stability, and sustained value creation, positioning Apple favorably for long-term growth.</a:t>
          </a:r>
        </a:p>
        <a:p>
          <a:endParaRPr lang="en-US" sz="1100"/>
        </a:p>
      </xdr:txBody>
    </xdr:sp>
    <xdr:clientData/>
  </xdr:twoCellAnchor>
  <xdr:twoCellAnchor>
    <xdr:from>
      <xdr:col>0</xdr:col>
      <xdr:colOff>15240</xdr:colOff>
      <xdr:row>19</xdr:row>
      <xdr:rowOff>91440</xdr:rowOff>
    </xdr:from>
    <xdr:to>
      <xdr:col>8</xdr:col>
      <xdr:colOff>594360</xdr:colOff>
      <xdr:row>27</xdr:row>
      <xdr:rowOff>68580</xdr:rowOff>
    </xdr:to>
    <xdr:sp macro="" textlink="">
      <xdr:nvSpPr>
        <xdr:cNvPr id="3" name="TextBox 2">
          <a:extLst>
            <a:ext uri="{FF2B5EF4-FFF2-40B4-BE49-F238E27FC236}">
              <a16:creationId xmlns:a16="http://schemas.microsoft.com/office/drawing/2014/main" id="{551D58E9-048D-D533-C716-C61CC6C0EB00}"/>
            </a:ext>
          </a:extLst>
        </xdr:cNvPr>
        <xdr:cNvSpPr txBox="1"/>
      </xdr:nvSpPr>
      <xdr:spPr>
        <a:xfrm>
          <a:off x="15240" y="4358640"/>
          <a:ext cx="6080760" cy="144018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Interpretation:</a:t>
          </a:r>
          <a:r>
            <a:rPr lang="en-US" sz="1200"/>
            <a:t> The forecasted Balance Sheet reflects a strong and improving financial position for Apple Inc. Total Assets and Shareholders' Equity are expected to grow significantly, driven by increasing cash balances and sustained profitability. Stable liabilities and strong liquidity indicate sound financial management and support the company's long-term growth prospects.</a:t>
          </a:r>
        </a:p>
        <a:p>
          <a:endParaRPr lang="en-US" sz="1200"/>
        </a:p>
        <a:p>
          <a:r>
            <a:rPr lang="en-US" sz="1200" b="1"/>
            <a:t>Model Validation:</a:t>
          </a:r>
          <a:r>
            <a:rPr lang="en-US" sz="1200"/>
            <a:t> The Balance Check equals zero for all forecast years, confirming that the projected Balance Sheet is fully integrated and balances correctly.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13</xdr:row>
      <xdr:rowOff>15240</xdr:rowOff>
    </xdr:from>
    <xdr:to>
      <xdr:col>6</xdr:col>
      <xdr:colOff>640080</xdr:colOff>
      <xdr:row>19</xdr:row>
      <xdr:rowOff>152400</xdr:rowOff>
    </xdr:to>
    <xdr:sp macro="" textlink="">
      <xdr:nvSpPr>
        <xdr:cNvPr id="2" name="TextBox 1">
          <a:extLst>
            <a:ext uri="{FF2B5EF4-FFF2-40B4-BE49-F238E27FC236}">
              <a16:creationId xmlns:a16="http://schemas.microsoft.com/office/drawing/2014/main" id="{A3BC8EE8-7EC5-DFB0-1B17-6F41C95F8CE0}"/>
            </a:ext>
          </a:extLst>
        </xdr:cNvPr>
        <xdr:cNvSpPr txBox="1"/>
      </xdr:nvSpPr>
      <xdr:spPr>
        <a:xfrm>
          <a:off x="22860" y="3688080"/>
          <a:ext cx="4846320" cy="123444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Interpretation:</a:t>
          </a:r>
          <a:r>
            <a:rPr lang="en-US" sz="1200"/>
            <a:t> The projected Cash Flow Statement demonstrates Apple's strong ability to generate operating cash flows and free cash flows throughout the forecast period. Increasing cash balances and consistent free cash flow generation indicate robust liquidity, efficient working capital management, and strong financial flexibility to support future growth and shareholder value creation.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190500</xdr:rowOff>
    </xdr:from>
    <xdr:to>
      <xdr:col>6</xdr:col>
      <xdr:colOff>594360</xdr:colOff>
      <xdr:row>13</xdr:row>
      <xdr:rowOff>22860</xdr:rowOff>
    </xdr:to>
    <xdr:sp macro="" textlink="">
      <xdr:nvSpPr>
        <xdr:cNvPr id="3" name="TextBox 2">
          <a:extLst>
            <a:ext uri="{FF2B5EF4-FFF2-40B4-BE49-F238E27FC236}">
              <a16:creationId xmlns:a16="http://schemas.microsoft.com/office/drawing/2014/main" id="{207760A1-5A80-4C79-BD1C-DF1F94417894}"/>
            </a:ext>
          </a:extLst>
        </xdr:cNvPr>
        <xdr:cNvSpPr txBox="1"/>
      </xdr:nvSpPr>
      <xdr:spPr>
        <a:xfrm>
          <a:off x="0" y="1303020"/>
          <a:ext cx="4671060" cy="11277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Interpretation:</a:t>
          </a:r>
          <a:r>
            <a:rPr lang="en-US" sz="1200"/>
            <a:t> The Supporting Schedules provide detailed calculations for key forecast drivers such as PP&amp;E, CapEx, and Depreciation. The PP&amp;E schedule indicates continued investment in long-term assets, supporting Apple's future growth while ensuring consistency across the Income Statement, Balance Sheet, and Cash Flow Statement.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601980</xdr:colOff>
      <xdr:row>2</xdr:row>
      <xdr:rowOff>0</xdr:rowOff>
    </xdr:from>
    <xdr:to>
      <xdr:col>10</xdr:col>
      <xdr:colOff>586740</xdr:colOff>
      <xdr:row>6</xdr:row>
      <xdr:rowOff>60960</xdr:rowOff>
    </xdr:to>
    <xdr:sp macro="" textlink="">
      <xdr:nvSpPr>
        <xdr:cNvPr id="2" name="TextBox 1">
          <a:extLst>
            <a:ext uri="{FF2B5EF4-FFF2-40B4-BE49-F238E27FC236}">
              <a16:creationId xmlns:a16="http://schemas.microsoft.com/office/drawing/2014/main" id="{A7F2D4FF-C3F9-2FE4-E555-245CB9C526F9}"/>
            </a:ext>
          </a:extLst>
        </xdr:cNvPr>
        <xdr:cNvSpPr txBox="1"/>
      </xdr:nvSpPr>
      <xdr:spPr>
        <a:xfrm>
          <a:off x="5692140" y="373380"/>
          <a:ext cx="1813560" cy="9829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Terminal Value</a:t>
          </a:r>
        </a:p>
        <a:p>
          <a:r>
            <a:rPr lang="en-US"/>
            <a:t>Assume:</a:t>
          </a:r>
          <a:r>
            <a:rPr lang="en-US" baseline="0"/>
            <a:t> </a:t>
          </a:r>
          <a:r>
            <a:rPr lang="en-US"/>
            <a:t>WACC = 9% </a:t>
          </a:r>
        </a:p>
        <a:p>
          <a:r>
            <a:rPr lang="en-US"/>
            <a:t>Terminal Growth Rate = 2.5% </a:t>
          </a:r>
        </a:p>
        <a:p>
          <a:r>
            <a:rPr lang="en-US"/>
            <a:t>This is the </a:t>
          </a:r>
          <a:r>
            <a:rPr lang="en-US" b="1"/>
            <a:t>Gordon Growth Formula</a:t>
          </a:r>
          <a:r>
            <a:rPr lang="en-US"/>
            <a:t>.</a:t>
          </a:r>
          <a:endParaRPr lang="en-US" sz="1100"/>
        </a:p>
      </xdr:txBody>
    </xdr:sp>
    <xdr:clientData/>
  </xdr:twoCellAnchor>
  <xdr:twoCellAnchor>
    <xdr:from>
      <xdr:col>3</xdr:col>
      <xdr:colOff>266700</xdr:colOff>
      <xdr:row>8</xdr:row>
      <xdr:rowOff>76200</xdr:rowOff>
    </xdr:from>
    <xdr:to>
      <xdr:col>6</xdr:col>
      <xdr:colOff>205740</xdr:colOff>
      <xdr:row>13</xdr:row>
      <xdr:rowOff>144780</xdr:rowOff>
    </xdr:to>
    <xdr:sp macro="" textlink="">
      <xdr:nvSpPr>
        <xdr:cNvPr id="3" name="TextBox 2">
          <a:extLst>
            <a:ext uri="{FF2B5EF4-FFF2-40B4-BE49-F238E27FC236}">
              <a16:creationId xmlns:a16="http://schemas.microsoft.com/office/drawing/2014/main" id="{8937752F-51B8-625E-A5AA-850D6326DD79}"/>
            </a:ext>
          </a:extLst>
        </xdr:cNvPr>
        <xdr:cNvSpPr txBox="1"/>
      </xdr:nvSpPr>
      <xdr:spPr>
        <a:xfrm>
          <a:off x="2735580" y="1737360"/>
          <a:ext cx="2133600" cy="11658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where:</a:t>
          </a:r>
        </a:p>
        <a:p>
          <a:r>
            <a:rPr lang="en-US" sz="1100">
              <a:solidFill>
                <a:schemeClr val="dk1"/>
              </a:solidFill>
              <a:latin typeface="+mn-lt"/>
              <a:ea typeface="+mn-ea"/>
              <a:cs typeface="+mn-cs"/>
            </a:rPr>
            <a:t>B4:F4</a:t>
          </a:r>
          <a:r>
            <a:rPr lang="en-US"/>
            <a:t> = PV of forecast period FCFs </a:t>
          </a:r>
        </a:p>
        <a:p>
          <a:r>
            <a:rPr lang="en-US" sz="1100">
              <a:solidFill>
                <a:schemeClr val="dk1"/>
              </a:solidFill>
              <a:latin typeface="+mn-lt"/>
              <a:ea typeface="+mn-ea"/>
              <a:cs typeface="+mn-cs"/>
            </a:rPr>
            <a:t>B8</a:t>
          </a:r>
          <a:r>
            <a:rPr lang="en-US"/>
            <a:t> = PV of Terminal Value </a:t>
          </a:r>
          <a:br>
            <a:rPr lang="en-US"/>
          </a:br>
          <a:r>
            <a:rPr lang="en-US"/>
            <a:t>Sum of PV of explicit forecast period FCFs</a:t>
          </a:r>
        </a:p>
        <a:p>
          <a:r>
            <a:rPr lang="en-US"/>
            <a:t>+ PV of Terminal Value</a:t>
          </a:r>
        </a:p>
        <a:p>
          <a:endParaRPr lang="en-US" sz="1100"/>
        </a:p>
      </xdr:txBody>
    </xdr:sp>
    <xdr:clientData/>
  </xdr:twoCellAnchor>
  <xdr:twoCellAnchor>
    <xdr:from>
      <xdr:col>2</xdr:col>
      <xdr:colOff>121920</xdr:colOff>
      <xdr:row>9</xdr:row>
      <xdr:rowOff>83820</xdr:rowOff>
    </xdr:from>
    <xdr:to>
      <xdr:col>3</xdr:col>
      <xdr:colOff>190500</xdr:colOff>
      <xdr:row>9</xdr:row>
      <xdr:rowOff>91440</xdr:rowOff>
    </xdr:to>
    <xdr:cxnSp macro="">
      <xdr:nvCxnSpPr>
        <xdr:cNvPr id="5" name="Straight Arrow Connector 4">
          <a:extLst>
            <a:ext uri="{FF2B5EF4-FFF2-40B4-BE49-F238E27FC236}">
              <a16:creationId xmlns:a16="http://schemas.microsoft.com/office/drawing/2014/main" id="{F633E4A7-98D0-E697-6A9E-D9F5644BCBA6}"/>
            </a:ext>
          </a:extLst>
        </xdr:cNvPr>
        <xdr:cNvCxnSpPr/>
      </xdr:nvCxnSpPr>
      <xdr:spPr>
        <a:xfrm>
          <a:off x="1981200" y="2110740"/>
          <a:ext cx="67818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76200</xdr:colOff>
      <xdr:row>3</xdr:row>
      <xdr:rowOff>320040</xdr:rowOff>
    </xdr:from>
    <xdr:to>
      <xdr:col>7</xdr:col>
      <xdr:colOff>502920</xdr:colOff>
      <xdr:row>7</xdr:row>
      <xdr:rowOff>91440</xdr:rowOff>
    </xdr:to>
    <xdr:cxnSp macro="">
      <xdr:nvCxnSpPr>
        <xdr:cNvPr id="8" name="Straight Arrow Connector 7">
          <a:extLst>
            <a:ext uri="{FF2B5EF4-FFF2-40B4-BE49-F238E27FC236}">
              <a16:creationId xmlns:a16="http://schemas.microsoft.com/office/drawing/2014/main" id="{B5EF883B-C246-3A20-D2F4-D2D3723C3757}"/>
            </a:ext>
          </a:extLst>
        </xdr:cNvPr>
        <xdr:cNvCxnSpPr/>
      </xdr:nvCxnSpPr>
      <xdr:spPr>
        <a:xfrm flipV="1">
          <a:off x="1935480" y="876300"/>
          <a:ext cx="3840480" cy="6934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16</xdr:row>
      <xdr:rowOff>15240</xdr:rowOff>
    </xdr:from>
    <xdr:to>
      <xdr:col>7</xdr:col>
      <xdr:colOff>167640</xdr:colOff>
      <xdr:row>23</xdr:row>
      <xdr:rowOff>53340</xdr:rowOff>
    </xdr:to>
    <xdr:sp macro="" textlink="">
      <xdr:nvSpPr>
        <xdr:cNvPr id="9" name="TextBox 8">
          <a:extLst>
            <a:ext uri="{FF2B5EF4-FFF2-40B4-BE49-F238E27FC236}">
              <a16:creationId xmlns:a16="http://schemas.microsoft.com/office/drawing/2014/main" id="{C30E1B10-67D8-CB14-4BAD-DFD5EB3503A7}"/>
            </a:ext>
          </a:extLst>
        </xdr:cNvPr>
        <xdr:cNvSpPr txBox="1"/>
      </xdr:nvSpPr>
      <xdr:spPr>
        <a:xfrm>
          <a:off x="0" y="3345180"/>
          <a:ext cx="5440680" cy="13182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Discounted Cash Flow (DCF) Overview:</a:t>
          </a:r>
        </a:p>
        <a:p>
          <a:endParaRPr lang="en-US" sz="1100" b="1"/>
        </a:p>
        <a:p>
          <a:r>
            <a:rPr lang="en-US" sz="1100"/>
            <a:t>The DCF Model estimates Apple's intrinsic</a:t>
          </a:r>
          <a:r>
            <a:rPr lang="en-US" sz="1100" baseline="0"/>
            <a:t> enterprise value by discounting projected future free cash flows to their present value using the Weighted Average Cost of Capital (WACC). </a:t>
          </a:r>
          <a:r>
            <a:rPr lang="en-US"/>
            <a:t>A terminal value is calculated using the Gordon Growth Method to capture cash flows beyond the explicit forecast period. The sum of the present value of forecast-period cash flows and terminal value represents the estimated enterprise value of the company.</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175260</xdr:colOff>
      <xdr:row>7</xdr:row>
      <xdr:rowOff>175260</xdr:rowOff>
    </xdr:from>
    <xdr:to>
      <xdr:col>2</xdr:col>
      <xdr:colOff>426720</xdr:colOff>
      <xdr:row>20</xdr:row>
      <xdr:rowOff>167640</xdr:rowOff>
    </xdr:to>
    <xdr:sp macro="" textlink="">
      <xdr:nvSpPr>
        <xdr:cNvPr id="2" name="TextBox 1">
          <a:extLst>
            <a:ext uri="{FF2B5EF4-FFF2-40B4-BE49-F238E27FC236}">
              <a16:creationId xmlns:a16="http://schemas.microsoft.com/office/drawing/2014/main" id="{F3C4713B-F98D-F670-16DF-CEC107D53E7F}"/>
            </a:ext>
          </a:extLst>
        </xdr:cNvPr>
        <xdr:cNvSpPr txBox="1"/>
      </xdr:nvSpPr>
      <xdr:spPr>
        <a:xfrm>
          <a:off x="175260" y="1661160"/>
          <a:ext cx="2217420" cy="23698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Sensitivity Analysis Overview:</a:t>
          </a:r>
        </a:p>
        <a:p>
          <a:r>
            <a:rPr lang="en-US" sz="1200"/>
            <a:t>Sensitivity analysis evaluates how changes in key valuation assumptions, specifically the Weighted Average Cost of Capital (WACC) and Terminal Growth Rate, affect the estimated enterprise value. This analysis helps assess valuation risk and understand the range of potential outcomes under different scenarios.</a:t>
          </a:r>
        </a:p>
      </xdr:txBody>
    </xdr:sp>
    <xdr:clientData/>
  </xdr:twoCellAnchor>
  <xdr:twoCellAnchor>
    <xdr:from>
      <xdr:col>3</xdr:col>
      <xdr:colOff>15240</xdr:colOff>
      <xdr:row>8</xdr:row>
      <xdr:rowOff>7620</xdr:rowOff>
    </xdr:from>
    <xdr:to>
      <xdr:col>5</xdr:col>
      <xdr:colOff>723900</xdr:colOff>
      <xdr:row>17</xdr:row>
      <xdr:rowOff>15240</xdr:rowOff>
    </xdr:to>
    <xdr:sp macro="" textlink="">
      <xdr:nvSpPr>
        <xdr:cNvPr id="3" name="TextBox 2">
          <a:extLst>
            <a:ext uri="{FF2B5EF4-FFF2-40B4-BE49-F238E27FC236}">
              <a16:creationId xmlns:a16="http://schemas.microsoft.com/office/drawing/2014/main" id="{757E4AE2-6277-DB9B-5A21-A5A3A7F2CB30}"/>
            </a:ext>
          </a:extLst>
        </xdr:cNvPr>
        <xdr:cNvSpPr txBox="1"/>
      </xdr:nvSpPr>
      <xdr:spPr>
        <a:xfrm>
          <a:off x="2827020" y="1676400"/>
          <a:ext cx="2400300" cy="16535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Key Insight:</a:t>
          </a:r>
          <a:r>
            <a:rPr lang="en-US"/>
            <a:t> The analysis indicates that Apple's enterprise value is highly sensitive to changes in discount rate and terminal growth assumptions. Lower WACC assumptions and higher long-term growth expectations result in higher valuations, while higher discount rates reduce the estimated enterprise value.</a:t>
          </a:r>
          <a:endParaRPr lang="en-US" sz="1100"/>
        </a:p>
      </xdr:txBody>
    </xdr:sp>
    <xdr:clientData/>
  </xdr:twoCellAnchor>
  <xdr:twoCellAnchor>
    <xdr:from>
      <xdr:col>7</xdr:col>
      <xdr:colOff>7620</xdr:colOff>
      <xdr:row>1</xdr:row>
      <xdr:rowOff>53340</xdr:rowOff>
    </xdr:from>
    <xdr:to>
      <xdr:col>10</xdr:col>
      <xdr:colOff>167640</xdr:colOff>
      <xdr:row>4</xdr:row>
      <xdr:rowOff>106680</xdr:rowOff>
    </xdr:to>
    <xdr:sp macro="" textlink="">
      <xdr:nvSpPr>
        <xdr:cNvPr id="4" name="TextBox 3">
          <a:extLst>
            <a:ext uri="{FF2B5EF4-FFF2-40B4-BE49-F238E27FC236}">
              <a16:creationId xmlns:a16="http://schemas.microsoft.com/office/drawing/2014/main" id="{71F69D87-3A98-9452-5B77-69172BF7C6D7}"/>
            </a:ext>
          </a:extLst>
        </xdr:cNvPr>
        <xdr:cNvSpPr txBox="1"/>
      </xdr:nvSpPr>
      <xdr:spPr>
        <a:xfrm>
          <a:off x="5966460" y="243840"/>
          <a:ext cx="1988820" cy="7924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Highlighted cell (D4) represents the base-case valuation using a 9.0% WACC and 2.5% Terminal Growth Rate.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4C48-864E-4F9E-84CD-6656D17DC0F2}">
  <dimension ref="A1:N38"/>
  <sheetViews>
    <sheetView zoomScale="92" zoomScaleNormal="92" workbookViewId="0">
      <selection activeCell="O13" sqref="O13"/>
    </sheetView>
  </sheetViews>
  <sheetFormatPr defaultRowHeight="14.4" x14ac:dyDescent="0.3"/>
  <cols>
    <col min="3" max="3" width="12.6640625" customWidth="1"/>
    <col min="5" max="5" width="15.109375" customWidth="1"/>
    <col min="6" max="6" width="18.44140625" customWidth="1"/>
    <col min="7" max="7" width="28.33203125" customWidth="1"/>
    <col min="8" max="8" width="18.5546875" customWidth="1"/>
    <col min="9" max="9" width="20.33203125" customWidth="1"/>
  </cols>
  <sheetData>
    <row r="1" spans="1:14" ht="15" thickBot="1" x14ac:dyDescent="0.35"/>
    <row r="2" spans="1:14" ht="14.4" customHeight="1" x14ac:dyDescent="0.3">
      <c r="A2" s="115" t="s">
        <v>107</v>
      </c>
      <c r="B2" s="116"/>
      <c r="C2" s="116"/>
      <c r="D2" s="116"/>
      <c r="E2" s="116"/>
      <c r="F2" s="116"/>
      <c r="G2" s="116"/>
      <c r="H2" s="116"/>
      <c r="I2" s="116"/>
      <c r="J2" s="116"/>
      <c r="K2" s="116"/>
      <c r="L2" s="117"/>
    </row>
    <row r="3" spans="1:14" x14ac:dyDescent="0.3">
      <c r="A3" s="118"/>
      <c r="B3" s="119"/>
      <c r="C3" s="119"/>
      <c r="D3" s="119"/>
      <c r="E3" s="119"/>
      <c r="F3" s="119"/>
      <c r="G3" s="119"/>
      <c r="H3" s="119"/>
      <c r="I3" s="119"/>
      <c r="J3" s="119"/>
      <c r="K3" s="119"/>
      <c r="L3" s="120"/>
    </row>
    <row r="4" spans="1:14" ht="14.4" customHeight="1" x14ac:dyDescent="0.3">
      <c r="A4" s="121" t="s">
        <v>108</v>
      </c>
      <c r="B4" s="122"/>
      <c r="C4" s="122"/>
      <c r="D4" s="122"/>
      <c r="E4" s="122"/>
      <c r="F4" s="122"/>
      <c r="G4" s="122"/>
      <c r="H4" s="122"/>
      <c r="I4" s="122"/>
      <c r="J4" s="122"/>
      <c r="K4" s="122"/>
      <c r="L4" s="123"/>
    </row>
    <row r="5" spans="1:14" x14ac:dyDescent="0.3">
      <c r="A5" s="121"/>
      <c r="B5" s="122"/>
      <c r="C5" s="122"/>
      <c r="D5" s="122"/>
      <c r="E5" s="122"/>
      <c r="F5" s="122"/>
      <c r="G5" s="122"/>
      <c r="H5" s="122"/>
      <c r="I5" s="122"/>
      <c r="J5" s="122"/>
      <c r="K5" s="122"/>
      <c r="L5" s="123"/>
    </row>
    <row r="6" spans="1:14" x14ac:dyDescent="0.3">
      <c r="A6" s="124"/>
      <c r="B6" s="8"/>
      <c r="C6" s="8"/>
      <c r="D6" s="8"/>
      <c r="E6" s="8"/>
      <c r="F6" s="8"/>
      <c r="G6" s="8"/>
      <c r="H6" s="8"/>
      <c r="I6" s="8"/>
      <c r="J6" s="8"/>
      <c r="K6" s="8"/>
      <c r="L6" s="125"/>
    </row>
    <row r="7" spans="1:14" ht="14.4" customHeight="1" x14ac:dyDescent="0.3">
      <c r="A7" s="126"/>
      <c r="B7" s="127"/>
      <c r="C7" s="127"/>
      <c r="D7" s="127"/>
      <c r="E7" s="127"/>
      <c r="F7" s="127"/>
      <c r="G7" s="127"/>
      <c r="H7" s="127"/>
      <c r="I7" s="127"/>
      <c r="J7" s="127"/>
      <c r="K7" s="127"/>
      <c r="L7" s="128"/>
    </row>
    <row r="8" spans="1:14" x14ac:dyDescent="0.3">
      <c r="A8" s="126"/>
      <c r="B8" s="127"/>
      <c r="C8" s="127"/>
      <c r="D8" s="127"/>
      <c r="E8" s="127"/>
      <c r="F8" s="127"/>
      <c r="G8" s="127"/>
      <c r="H8" s="127"/>
      <c r="I8" s="127"/>
      <c r="J8" s="127"/>
      <c r="K8" s="127"/>
      <c r="L8" s="128"/>
    </row>
    <row r="9" spans="1:14" x14ac:dyDescent="0.3">
      <c r="A9" s="126"/>
      <c r="B9" s="127"/>
      <c r="C9" s="127"/>
      <c r="D9" s="127"/>
      <c r="E9" s="127"/>
      <c r="F9" s="127"/>
      <c r="G9" s="127"/>
      <c r="H9" s="127"/>
      <c r="I9" s="127"/>
      <c r="J9" s="127"/>
      <c r="K9" s="127"/>
      <c r="L9" s="128"/>
    </row>
    <row r="10" spans="1:14" x14ac:dyDescent="0.3">
      <c r="A10" s="126"/>
      <c r="B10" s="127"/>
      <c r="C10" s="127"/>
      <c r="D10" s="127"/>
      <c r="E10" s="127"/>
      <c r="F10" s="127"/>
      <c r="G10" s="127"/>
      <c r="H10" s="127"/>
      <c r="I10" s="127"/>
      <c r="J10" s="127"/>
      <c r="K10" s="127"/>
      <c r="L10" s="128"/>
    </row>
    <row r="11" spans="1:14" x14ac:dyDescent="0.3">
      <c r="A11" s="126"/>
      <c r="B11" s="127"/>
      <c r="C11" s="127"/>
      <c r="D11" s="127"/>
      <c r="E11" s="127"/>
      <c r="F11" s="127"/>
      <c r="G11" s="127"/>
      <c r="H11" s="127"/>
      <c r="I11" s="127"/>
      <c r="J11" s="127"/>
      <c r="K11" s="127"/>
      <c r="L11" s="128"/>
    </row>
    <row r="12" spans="1:14" x14ac:dyDescent="0.3">
      <c r="A12" s="124"/>
      <c r="B12" s="8"/>
      <c r="C12" s="8"/>
      <c r="D12" s="8"/>
      <c r="E12" s="8"/>
      <c r="F12" s="8"/>
      <c r="G12" s="8"/>
      <c r="H12" s="8"/>
      <c r="I12" s="8"/>
      <c r="J12" s="8"/>
      <c r="K12" s="8"/>
      <c r="L12" s="125"/>
    </row>
    <row r="13" spans="1:14" ht="15" thickBot="1" x14ac:dyDescent="0.35">
      <c r="A13" s="124"/>
      <c r="B13" s="8"/>
      <c r="C13" s="8"/>
      <c r="D13" s="8"/>
      <c r="E13" s="8"/>
      <c r="F13" s="8"/>
      <c r="G13" s="8"/>
      <c r="H13" s="8"/>
      <c r="I13" s="8"/>
      <c r="J13" s="8"/>
      <c r="K13" s="8"/>
      <c r="L13" s="125"/>
    </row>
    <row r="14" spans="1:14" ht="15" thickBot="1" x14ac:dyDescent="0.35">
      <c r="A14" s="124"/>
      <c r="B14" s="26" t="s">
        <v>109</v>
      </c>
      <c r="C14" s="27"/>
      <c r="D14" s="27"/>
      <c r="E14" s="28"/>
      <c r="F14" s="8"/>
      <c r="G14" s="8"/>
      <c r="H14" s="26" t="s">
        <v>116</v>
      </c>
      <c r="I14" s="28"/>
      <c r="J14" s="103"/>
      <c r="K14" s="103"/>
      <c r="L14" s="125"/>
    </row>
    <row r="15" spans="1:14" ht="16.8" customHeight="1" thickBot="1" x14ac:dyDescent="0.35">
      <c r="A15" s="124"/>
      <c r="B15" s="84" t="s">
        <v>110</v>
      </c>
      <c r="C15" s="85"/>
      <c r="D15" s="85"/>
      <c r="E15" s="86"/>
      <c r="F15" s="8"/>
      <c r="G15" s="8"/>
      <c r="H15" s="77" t="s">
        <v>117</v>
      </c>
      <c r="I15" s="78" t="s">
        <v>26</v>
      </c>
      <c r="J15" s="8"/>
      <c r="K15" s="8"/>
      <c r="L15" s="125"/>
      <c r="N15" s="76"/>
    </row>
    <row r="16" spans="1:14" x14ac:dyDescent="0.3">
      <c r="A16" s="126"/>
      <c r="B16" s="84" t="s">
        <v>124</v>
      </c>
      <c r="C16" s="85"/>
      <c r="D16" s="85"/>
      <c r="E16" s="86"/>
      <c r="F16" s="8"/>
      <c r="G16" s="8"/>
      <c r="H16" s="53" t="s">
        <v>118</v>
      </c>
      <c r="I16" s="79" t="s">
        <v>119</v>
      </c>
      <c r="J16" s="8"/>
      <c r="K16" s="8"/>
      <c r="L16" s="125"/>
    </row>
    <row r="17" spans="1:12" x14ac:dyDescent="0.3">
      <c r="A17" s="126"/>
      <c r="B17" s="87" t="s">
        <v>125</v>
      </c>
      <c r="C17" s="88"/>
      <c r="D17" s="88"/>
      <c r="E17" s="89"/>
      <c r="F17" s="8"/>
      <c r="G17" s="8"/>
      <c r="H17" s="54" t="s">
        <v>58</v>
      </c>
      <c r="I17" s="80">
        <v>0.09</v>
      </c>
      <c r="J17" s="8"/>
      <c r="K17" s="8"/>
      <c r="L17" s="125"/>
    </row>
    <row r="18" spans="1:12" x14ac:dyDescent="0.3">
      <c r="A18" s="126"/>
      <c r="B18" s="87" t="s">
        <v>126</v>
      </c>
      <c r="C18" s="88"/>
      <c r="D18" s="88"/>
      <c r="E18" s="89"/>
      <c r="F18" s="8"/>
      <c r="G18" s="8"/>
      <c r="H18" s="54" t="s">
        <v>59</v>
      </c>
      <c r="I18" s="80">
        <v>2.5000000000000001E-2</v>
      </c>
      <c r="J18" s="8"/>
      <c r="K18" s="8"/>
      <c r="L18" s="125"/>
    </row>
    <row r="19" spans="1:12" x14ac:dyDescent="0.3">
      <c r="A19" s="126"/>
      <c r="B19" s="87" t="s">
        <v>111</v>
      </c>
      <c r="C19" s="88"/>
      <c r="D19" s="88"/>
      <c r="E19" s="89"/>
      <c r="F19" s="8"/>
      <c r="G19" s="8"/>
      <c r="H19" s="54" t="s">
        <v>120</v>
      </c>
      <c r="I19" s="81" t="s">
        <v>121</v>
      </c>
      <c r="J19" s="8"/>
      <c r="K19" s="8"/>
      <c r="L19" s="125"/>
    </row>
    <row r="20" spans="1:12" ht="15" thickBot="1" x14ac:dyDescent="0.35">
      <c r="A20" s="126"/>
      <c r="B20" s="87" t="s">
        <v>112</v>
      </c>
      <c r="C20" s="88"/>
      <c r="D20" s="88"/>
      <c r="E20" s="89"/>
      <c r="F20" s="8"/>
      <c r="G20" s="8"/>
      <c r="H20" s="56" t="s">
        <v>122</v>
      </c>
      <c r="I20" s="82" t="s">
        <v>123</v>
      </c>
      <c r="J20" s="8"/>
      <c r="K20" s="8"/>
      <c r="L20" s="125"/>
    </row>
    <row r="21" spans="1:12" x14ac:dyDescent="0.3">
      <c r="A21" s="126"/>
      <c r="B21" s="87" t="s">
        <v>113</v>
      </c>
      <c r="C21" s="88"/>
      <c r="D21" s="88"/>
      <c r="E21" s="89"/>
      <c r="F21" s="8"/>
      <c r="G21" s="8"/>
      <c r="H21" s="8"/>
      <c r="I21" s="8"/>
      <c r="J21" s="8"/>
      <c r="K21" s="8"/>
      <c r="L21" s="125"/>
    </row>
    <row r="22" spans="1:12" x14ac:dyDescent="0.3">
      <c r="A22" s="126"/>
      <c r="B22" s="87" t="s">
        <v>114</v>
      </c>
      <c r="C22" s="88"/>
      <c r="D22" s="88"/>
      <c r="E22" s="89"/>
      <c r="F22" s="8"/>
      <c r="G22" s="8"/>
      <c r="H22" s="8"/>
      <c r="I22" s="8"/>
      <c r="J22" s="8"/>
      <c r="K22" s="8"/>
      <c r="L22" s="125"/>
    </row>
    <row r="23" spans="1:12" ht="15" thickBot="1" x14ac:dyDescent="0.35">
      <c r="A23" s="126"/>
      <c r="B23" s="90" t="s">
        <v>115</v>
      </c>
      <c r="C23" s="91"/>
      <c r="D23" s="91"/>
      <c r="E23" s="92"/>
      <c r="F23" s="8"/>
      <c r="G23" s="8"/>
      <c r="H23" s="8"/>
      <c r="I23" s="8"/>
      <c r="J23" s="8"/>
      <c r="K23" s="8"/>
      <c r="L23" s="125"/>
    </row>
    <row r="24" spans="1:12" x14ac:dyDescent="0.3">
      <c r="A24" s="124"/>
      <c r="B24" s="8"/>
      <c r="C24" s="8"/>
      <c r="D24" s="8"/>
      <c r="E24" s="8"/>
      <c r="F24" s="8"/>
      <c r="G24" s="8"/>
      <c r="H24" s="8"/>
      <c r="I24" s="8"/>
      <c r="J24" s="8"/>
      <c r="K24" s="8"/>
      <c r="L24" s="125"/>
    </row>
    <row r="25" spans="1:12" x14ac:dyDescent="0.3">
      <c r="A25" s="124"/>
      <c r="B25" s="8"/>
      <c r="C25" s="103"/>
      <c r="D25" s="99" t="s">
        <v>127</v>
      </c>
      <c r="E25" s="99"/>
      <c r="F25" s="99"/>
      <c r="G25" s="99"/>
      <c r="H25" s="99"/>
      <c r="I25" s="99"/>
      <c r="J25" s="103"/>
      <c r="K25" s="103"/>
      <c r="L25" s="129"/>
    </row>
    <row r="26" spans="1:12" ht="15" thickBot="1" x14ac:dyDescent="0.35">
      <c r="A26" s="124"/>
      <c r="B26" s="8"/>
      <c r="C26" s="8"/>
      <c r="D26" s="8"/>
      <c r="E26" s="8"/>
      <c r="F26" s="8"/>
      <c r="G26" s="8"/>
      <c r="H26" s="8"/>
      <c r="I26" s="8"/>
      <c r="J26" s="8"/>
      <c r="K26" s="8"/>
      <c r="L26" s="125"/>
    </row>
    <row r="27" spans="1:12" ht="14.4" customHeight="1" x14ac:dyDescent="0.5">
      <c r="A27" s="124"/>
      <c r="B27" s="8"/>
      <c r="C27" s="93" t="s">
        <v>128</v>
      </c>
      <c r="D27" s="94"/>
      <c r="E27" s="94"/>
      <c r="F27" s="94"/>
      <c r="G27" s="94"/>
      <c r="H27" s="94"/>
      <c r="I27" s="95"/>
      <c r="J27" s="102"/>
      <c r="K27" s="8"/>
      <c r="L27" s="125"/>
    </row>
    <row r="28" spans="1:12" ht="14.4" customHeight="1" thickBot="1" x14ac:dyDescent="0.55000000000000004">
      <c r="A28" s="124"/>
      <c r="B28" s="8"/>
      <c r="C28" s="96"/>
      <c r="D28" s="97"/>
      <c r="E28" s="97"/>
      <c r="F28" s="97"/>
      <c r="G28" s="97"/>
      <c r="H28" s="97"/>
      <c r="I28" s="98"/>
      <c r="J28" s="102"/>
      <c r="K28" s="8"/>
      <c r="L28" s="125"/>
    </row>
    <row r="29" spans="1:12" x14ac:dyDescent="0.3">
      <c r="A29" s="124"/>
      <c r="B29" s="8"/>
      <c r="C29" s="8"/>
      <c r="D29" s="8"/>
      <c r="E29" s="8"/>
      <c r="F29" s="8"/>
      <c r="G29" s="8"/>
      <c r="H29" s="8"/>
      <c r="I29" s="8"/>
      <c r="J29" s="8"/>
      <c r="K29" s="8"/>
      <c r="L29" s="125"/>
    </row>
    <row r="30" spans="1:12" x14ac:dyDescent="0.3">
      <c r="A30" s="124"/>
      <c r="B30" s="8"/>
      <c r="C30" s="8"/>
      <c r="D30" s="8"/>
      <c r="E30" s="8"/>
      <c r="F30" s="8"/>
      <c r="G30" s="8"/>
      <c r="H30" s="8"/>
      <c r="I30" s="8"/>
      <c r="J30" s="8"/>
      <c r="K30" s="8"/>
      <c r="L30" s="125"/>
    </row>
    <row r="31" spans="1:12" ht="15.6" x14ac:dyDescent="0.3">
      <c r="A31" s="124"/>
      <c r="B31" s="8"/>
      <c r="C31" s="8"/>
      <c r="D31" s="104" t="s">
        <v>129</v>
      </c>
      <c r="E31" s="104"/>
      <c r="F31" s="104"/>
      <c r="G31" s="104"/>
      <c r="H31" s="104"/>
      <c r="I31" s="104"/>
      <c r="J31" s="8"/>
      <c r="K31" s="8"/>
      <c r="L31" s="125"/>
    </row>
    <row r="32" spans="1:12" x14ac:dyDescent="0.3">
      <c r="A32" s="124"/>
      <c r="B32" s="8"/>
      <c r="C32" s="8"/>
      <c r="D32" s="8"/>
      <c r="E32" s="83" t="s">
        <v>130</v>
      </c>
      <c r="F32" s="83"/>
      <c r="G32" s="83"/>
      <c r="H32" s="83"/>
      <c r="I32" s="83"/>
      <c r="J32" s="8"/>
      <c r="K32" s="8"/>
      <c r="L32" s="125"/>
    </row>
    <row r="33" spans="1:12" x14ac:dyDescent="0.3">
      <c r="A33" s="124"/>
      <c r="B33" s="8"/>
      <c r="C33" s="8"/>
      <c r="D33" s="8"/>
      <c r="E33" s="8"/>
      <c r="F33" s="8"/>
      <c r="G33" s="8"/>
      <c r="H33" s="8"/>
      <c r="I33" s="8"/>
      <c r="J33" s="8"/>
      <c r="K33" s="8"/>
      <c r="L33" s="125"/>
    </row>
    <row r="34" spans="1:12" x14ac:dyDescent="0.3">
      <c r="A34" s="124"/>
      <c r="B34" s="8"/>
      <c r="C34" s="8"/>
      <c r="D34" s="8"/>
      <c r="E34" s="8"/>
      <c r="F34" s="8"/>
      <c r="G34" s="8"/>
      <c r="H34" s="8"/>
      <c r="I34" s="8"/>
      <c r="J34" s="8"/>
      <c r="K34" s="8"/>
      <c r="L34" s="125"/>
    </row>
    <row r="35" spans="1:12" x14ac:dyDescent="0.3">
      <c r="A35" s="124"/>
      <c r="B35" s="8"/>
      <c r="C35" s="8"/>
      <c r="D35" s="8"/>
      <c r="E35" s="8"/>
      <c r="F35" s="9" t="s">
        <v>131</v>
      </c>
      <c r="G35" s="9" t="s">
        <v>132</v>
      </c>
      <c r="H35" s="9" t="s">
        <v>133</v>
      </c>
      <c r="I35" s="8"/>
      <c r="J35" s="8"/>
      <c r="K35" s="8"/>
      <c r="L35" s="125"/>
    </row>
    <row r="36" spans="1:12" ht="28.8" x14ac:dyDescent="0.3">
      <c r="A36" s="124"/>
      <c r="B36" s="8"/>
      <c r="C36" s="8"/>
      <c r="D36" s="8"/>
      <c r="E36" s="8"/>
      <c r="F36" s="100" t="s">
        <v>135</v>
      </c>
      <c r="G36" s="101">
        <v>46174</v>
      </c>
      <c r="H36" s="100" t="s">
        <v>134</v>
      </c>
      <c r="I36" s="8"/>
      <c r="J36" s="8"/>
      <c r="K36" s="8"/>
      <c r="L36" s="125"/>
    </row>
    <row r="37" spans="1:12" x14ac:dyDescent="0.3">
      <c r="A37" s="124"/>
      <c r="B37" s="8"/>
      <c r="C37" s="8"/>
      <c r="D37" s="8"/>
      <c r="E37" s="8"/>
      <c r="F37" s="8"/>
      <c r="G37" s="8"/>
      <c r="H37" s="8"/>
      <c r="I37" s="8"/>
      <c r="J37" s="8"/>
      <c r="K37" s="8"/>
      <c r="L37" s="125"/>
    </row>
    <row r="38" spans="1:12" ht="15" thickBot="1" x14ac:dyDescent="0.35">
      <c r="A38" s="130"/>
      <c r="B38" s="131"/>
      <c r="C38" s="131"/>
      <c r="D38" s="131"/>
      <c r="E38" s="131"/>
      <c r="F38" s="131"/>
      <c r="G38" s="131"/>
      <c r="H38" s="131"/>
      <c r="I38" s="131"/>
      <c r="J38" s="131"/>
      <c r="K38" s="131"/>
      <c r="L38" s="132"/>
    </row>
  </sheetData>
  <mergeCells count="17">
    <mergeCell ref="D31:I31"/>
    <mergeCell ref="E32:I32"/>
    <mergeCell ref="C27:I28"/>
    <mergeCell ref="D25:I25"/>
    <mergeCell ref="B21:E21"/>
    <mergeCell ref="B22:E22"/>
    <mergeCell ref="B23:E23"/>
    <mergeCell ref="B14:E14"/>
    <mergeCell ref="H14:I14"/>
    <mergeCell ref="B15:E15"/>
    <mergeCell ref="B16:E16"/>
    <mergeCell ref="B17:E17"/>
    <mergeCell ref="B18:E18"/>
    <mergeCell ref="B19:E19"/>
    <mergeCell ref="B20:E20"/>
    <mergeCell ref="A2:L3"/>
    <mergeCell ref="A4:L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EAD4-1A09-4C07-B1A0-3CA39B7A96F4}">
  <dimension ref="A1:H15"/>
  <sheetViews>
    <sheetView workbookViewId="0">
      <selection activeCell="O13" sqref="O13"/>
    </sheetView>
  </sheetViews>
  <sheetFormatPr defaultRowHeight="14.4" x14ac:dyDescent="0.3"/>
  <cols>
    <col min="1" max="1" width="23.6640625" bestFit="1" customWidth="1"/>
  </cols>
  <sheetData>
    <row r="1" spans="1:8" ht="15" thickBot="1" x14ac:dyDescent="0.35">
      <c r="A1" s="16" t="s">
        <v>0</v>
      </c>
      <c r="B1" s="17" t="s">
        <v>1</v>
      </c>
      <c r="C1" s="17" t="s">
        <v>2</v>
      </c>
      <c r="D1" s="18" t="s">
        <v>3</v>
      </c>
    </row>
    <row r="2" spans="1:8" x14ac:dyDescent="0.3">
      <c r="A2" s="19" t="s">
        <v>4</v>
      </c>
      <c r="B2" s="15">
        <v>383285</v>
      </c>
      <c r="C2" s="15">
        <v>391035</v>
      </c>
      <c r="D2" s="20">
        <v>416161</v>
      </c>
    </row>
    <row r="3" spans="1:8" x14ac:dyDescent="0.3">
      <c r="A3" s="21" t="s">
        <v>5</v>
      </c>
      <c r="B3" s="14">
        <v>214137</v>
      </c>
      <c r="C3" s="14">
        <v>210352</v>
      </c>
      <c r="D3" s="22">
        <v>220960</v>
      </c>
    </row>
    <row r="4" spans="1:8" x14ac:dyDescent="0.3">
      <c r="A4" s="21" t="s">
        <v>6</v>
      </c>
      <c r="B4" s="14">
        <v>169148</v>
      </c>
      <c r="C4" s="14">
        <v>180683</v>
      </c>
      <c r="D4" s="22">
        <v>195201</v>
      </c>
    </row>
    <row r="5" spans="1:8" x14ac:dyDescent="0.3">
      <c r="A5" s="21" t="s">
        <v>7</v>
      </c>
      <c r="B5" s="14">
        <v>29915</v>
      </c>
      <c r="C5" s="14">
        <v>31370</v>
      </c>
      <c r="D5" s="22">
        <v>34550</v>
      </c>
    </row>
    <row r="6" spans="1:8" x14ac:dyDescent="0.3">
      <c r="A6" s="21" t="s">
        <v>8</v>
      </c>
      <c r="B6" s="14">
        <v>24932</v>
      </c>
      <c r="C6" s="14">
        <v>26097</v>
      </c>
      <c r="D6" s="22">
        <v>27601</v>
      </c>
    </row>
    <row r="7" spans="1:8" x14ac:dyDescent="0.3">
      <c r="A7" s="21" t="s">
        <v>9</v>
      </c>
      <c r="B7" s="14">
        <v>114301</v>
      </c>
      <c r="C7" s="14">
        <v>123216</v>
      </c>
      <c r="D7" s="22">
        <v>133050</v>
      </c>
    </row>
    <row r="8" spans="1:8" x14ac:dyDescent="0.3">
      <c r="A8" s="21" t="s">
        <v>10</v>
      </c>
      <c r="B8" s="14">
        <v>565</v>
      </c>
      <c r="C8" s="14">
        <v>-565</v>
      </c>
      <c r="D8" s="22">
        <v>-266</v>
      </c>
    </row>
    <row r="9" spans="1:8" x14ac:dyDescent="0.3">
      <c r="A9" s="21" t="s">
        <v>11</v>
      </c>
      <c r="B9" s="14">
        <v>114866</v>
      </c>
      <c r="C9" s="14">
        <v>122651</v>
      </c>
      <c r="D9" s="22">
        <v>132784</v>
      </c>
    </row>
    <row r="10" spans="1:8" x14ac:dyDescent="0.3">
      <c r="A10" s="21" t="s">
        <v>12</v>
      </c>
      <c r="B10" s="14">
        <v>16741</v>
      </c>
      <c r="C10" s="14">
        <v>29749</v>
      </c>
      <c r="D10" s="22">
        <v>20719</v>
      </c>
    </row>
    <row r="11" spans="1:8" x14ac:dyDescent="0.3">
      <c r="A11" s="21" t="s">
        <v>13</v>
      </c>
      <c r="B11" s="14">
        <v>96995</v>
      </c>
      <c r="C11" s="14">
        <v>93736</v>
      </c>
      <c r="D11" s="22">
        <v>112010</v>
      </c>
    </row>
    <row r="12" spans="1:8" x14ac:dyDescent="0.3">
      <c r="A12" s="21" t="s">
        <v>14</v>
      </c>
      <c r="B12" s="14">
        <v>8341</v>
      </c>
      <c r="C12" s="14">
        <v>8314</v>
      </c>
      <c r="D12" s="22">
        <v>8571</v>
      </c>
    </row>
    <row r="13" spans="1:8" ht="15" thickBot="1" x14ac:dyDescent="0.35">
      <c r="A13" s="23" t="s">
        <v>15</v>
      </c>
      <c r="B13" s="24">
        <v>-10959</v>
      </c>
      <c r="C13" s="24">
        <v>-12715</v>
      </c>
      <c r="D13" s="25">
        <v>-9447</v>
      </c>
    </row>
    <row r="14" spans="1:8" ht="15" thickBot="1" x14ac:dyDescent="0.35"/>
    <row r="15" spans="1:8" ht="15" thickBot="1" x14ac:dyDescent="0.35">
      <c r="A15" s="26" t="s">
        <v>99</v>
      </c>
      <c r="B15" s="27"/>
      <c r="C15" s="27"/>
      <c r="D15" s="27"/>
      <c r="E15" s="27"/>
      <c r="F15" s="27"/>
      <c r="G15" s="27"/>
      <c r="H15" s="28"/>
    </row>
  </sheetData>
  <mergeCells count="1">
    <mergeCell ref="A15:H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2652-A6B6-4E85-8B72-44D1E8B18AC1}">
  <dimension ref="A1:V12"/>
  <sheetViews>
    <sheetView zoomScaleNormal="100" workbookViewId="0">
      <selection activeCell="U16" sqref="U16"/>
    </sheetView>
  </sheetViews>
  <sheetFormatPr defaultRowHeight="14.4" x14ac:dyDescent="0.3"/>
  <cols>
    <col min="1" max="1" width="25.21875" customWidth="1"/>
    <col min="2" max="2" width="6.6640625" customWidth="1"/>
    <col min="6" max="6" width="16.44140625" customWidth="1"/>
    <col min="14" max="14" width="33.44140625" bestFit="1" customWidth="1"/>
    <col min="17" max="17" width="38.5546875" bestFit="1" customWidth="1"/>
    <col min="21" max="21" width="32.6640625" customWidth="1"/>
  </cols>
  <sheetData>
    <row r="1" spans="1:22" ht="15" thickBot="1" x14ac:dyDescent="0.35">
      <c r="A1" s="3" t="s">
        <v>27</v>
      </c>
      <c r="B1" s="2"/>
      <c r="F1" s="3" t="s">
        <v>33</v>
      </c>
      <c r="J1" s="6" t="s">
        <v>41</v>
      </c>
      <c r="N1" s="3" t="s">
        <v>44</v>
      </c>
      <c r="Q1" s="3" t="s">
        <v>49</v>
      </c>
      <c r="U1" s="3" t="s">
        <v>57</v>
      </c>
    </row>
    <row r="2" spans="1:22" ht="15" thickBot="1" x14ac:dyDescent="0.35">
      <c r="U2" s="32" t="s">
        <v>25</v>
      </c>
      <c r="V2" s="34" t="s">
        <v>26</v>
      </c>
    </row>
    <row r="3" spans="1:22" ht="15" thickBot="1" x14ac:dyDescent="0.35">
      <c r="A3" s="32" t="s">
        <v>25</v>
      </c>
      <c r="B3" s="34" t="s">
        <v>26</v>
      </c>
      <c r="F3" s="32" t="s">
        <v>25</v>
      </c>
      <c r="G3" s="34" t="s">
        <v>26</v>
      </c>
      <c r="J3" s="32" t="s">
        <v>25</v>
      </c>
      <c r="K3" s="34" t="s">
        <v>26</v>
      </c>
      <c r="N3" s="32" t="s">
        <v>25</v>
      </c>
      <c r="O3" s="34" t="s">
        <v>26</v>
      </c>
      <c r="Q3" s="32" t="s">
        <v>25</v>
      </c>
      <c r="R3" s="34" t="s">
        <v>26</v>
      </c>
      <c r="U3" s="35" t="s">
        <v>58</v>
      </c>
      <c r="V3" s="106">
        <v>0.09</v>
      </c>
    </row>
    <row r="4" spans="1:22" ht="21.6" customHeight="1" thickBot="1" x14ac:dyDescent="0.35">
      <c r="A4" s="35" t="s">
        <v>28</v>
      </c>
      <c r="B4" s="106">
        <v>0.06</v>
      </c>
      <c r="F4" s="35" t="s">
        <v>34</v>
      </c>
      <c r="G4" s="106">
        <v>0.57999999999999996</v>
      </c>
      <c r="J4" s="29" t="s">
        <v>42</v>
      </c>
      <c r="K4" s="105">
        <v>0.21</v>
      </c>
      <c r="N4" s="35" t="s">
        <v>45</v>
      </c>
      <c r="O4" s="106">
        <v>0.05</v>
      </c>
      <c r="Q4" s="35" t="s">
        <v>50</v>
      </c>
      <c r="R4" s="111">
        <v>30</v>
      </c>
      <c r="U4" s="41" t="s">
        <v>59</v>
      </c>
      <c r="V4" s="109">
        <v>2.5000000000000001E-2</v>
      </c>
    </row>
    <row r="5" spans="1:22" ht="16.8" customHeight="1" thickBot="1" x14ac:dyDescent="0.35">
      <c r="A5" s="37" t="s">
        <v>29</v>
      </c>
      <c r="B5" s="107">
        <v>0.06</v>
      </c>
      <c r="F5" s="37" t="s">
        <v>35</v>
      </c>
      <c r="G5" s="107">
        <v>7.0000000000000007E-2</v>
      </c>
      <c r="N5" s="41" t="s">
        <v>46</v>
      </c>
      <c r="O5" s="110">
        <v>0.03</v>
      </c>
      <c r="Q5" s="37" t="s">
        <v>51</v>
      </c>
      <c r="R5" s="112">
        <v>10</v>
      </c>
    </row>
    <row r="6" spans="1:22" ht="14.4" customHeight="1" thickBot="1" x14ac:dyDescent="0.35">
      <c r="A6" s="37" t="s">
        <v>30</v>
      </c>
      <c r="B6" s="108">
        <v>5.5E-2</v>
      </c>
      <c r="F6" s="41" t="s">
        <v>36</v>
      </c>
      <c r="G6" s="110">
        <v>0.06</v>
      </c>
      <c r="J6" s="3" t="s">
        <v>43</v>
      </c>
      <c r="Q6" s="41" t="s">
        <v>52</v>
      </c>
      <c r="R6" s="113">
        <v>40</v>
      </c>
    </row>
    <row r="7" spans="1:22" ht="17.399999999999999" customHeight="1" x14ac:dyDescent="0.3">
      <c r="A7" s="37" t="s">
        <v>31</v>
      </c>
      <c r="B7" s="107">
        <v>0.05</v>
      </c>
      <c r="N7" s="3" t="s">
        <v>37</v>
      </c>
    </row>
    <row r="8" spans="1:22" ht="16.2" customHeight="1" thickBot="1" x14ac:dyDescent="0.35">
      <c r="A8" s="41" t="s">
        <v>32</v>
      </c>
      <c r="B8" s="109">
        <v>4.4999999999999998E-2</v>
      </c>
      <c r="F8" s="6" t="s">
        <v>37</v>
      </c>
      <c r="N8" t="s">
        <v>47</v>
      </c>
      <c r="Q8" s="5" t="s">
        <v>53</v>
      </c>
    </row>
    <row r="9" spans="1:22" x14ac:dyDescent="0.3">
      <c r="F9" s="4" t="s">
        <v>38</v>
      </c>
      <c r="N9" t="s">
        <v>48</v>
      </c>
      <c r="Q9" s="4" t="s">
        <v>54</v>
      </c>
    </row>
    <row r="10" spans="1:22" x14ac:dyDescent="0.3">
      <c r="A10" s="3" t="s">
        <v>40</v>
      </c>
      <c r="F10" s="4" t="s">
        <v>39</v>
      </c>
      <c r="Q10" s="4" t="s">
        <v>55</v>
      </c>
    </row>
    <row r="11" spans="1:22" x14ac:dyDescent="0.3">
      <c r="Q11" s="4" t="s">
        <v>56</v>
      </c>
    </row>
    <row r="12" spans="1:22" x14ac:dyDescent="0.3">
      <c r="A12" t="s">
        <v>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16A7-6BEE-45B8-BE6C-68A1B9FAE08E}">
  <dimension ref="A1:I16"/>
  <sheetViews>
    <sheetView zoomScaleNormal="100" workbookViewId="0">
      <selection activeCell="J28" sqref="J28"/>
    </sheetView>
  </sheetViews>
  <sheetFormatPr defaultRowHeight="14.4" x14ac:dyDescent="0.3"/>
  <cols>
    <col min="1" max="1" width="17.6640625" customWidth="1"/>
    <col min="5" max="6" width="11.5546875" bestFit="1" customWidth="1"/>
    <col min="7" max="7" width="13.21875" customWidth="1"/>
    <col min="8" max="9" width="11.5546875" bestFit="1" customWidth="1"/>
  </cols>
  <sheetData>
    <row r="1" spans="1:9" ht="15" thickBot="1" x14ac:dyDescent="0.35">
      <c r="A1" s="32" t="s">
        <v>0</v>
      </c>
      <c r="B1" s="33" t="s">
        <v>61</v>
      </c>
      <c r="C1" s="33" t="s">
        <v>62</v>
      </c>
      <c r="D1" s="33" t="s">
        <v>63</v>
      </c>
      <c r="E1" s="33" t="s">
        <v>64</v>
      </c>
      <c r="F1" s="33" t="s">
        <v>65</v>
      </c>
      <c r="G1" s="33" t="s">
        <v>66</v>
      </c>
      <c r="H1" s="33" t="s">
        <v>67</v>
      </c>
      <c r="I1" s="34" t="s">
        <v>68</v>
      </c>
    </row>
    <row r="2" spans="1:9" x14ac:dyDescent="0.3">
      <c r="A2" s="35" t="s">
        <v>4</v>
      </c>
      <c r="B2" s="30">
        <f>'Historical '!B2</f>
        <v>383285</v>
      </c>
      <c r="C2" s="30">
        <f>'Historical '!C2</f>
        <v>391035</v>
      </c>
      <c r="D2" s="30">
        <f>'Historical '!D2</f>
        <v>416161</v>
      </c>
      <c r="E2" s="29">
        <f xml:space="preserve"> D2*(1+Assumptions!B4)</f>
        <v>441130.66000000003</v>
      </c>
      <c r="F2" s="31">
        <f>E2*(1+Assumptions!B5)</f>
        <v>467598.49960000004</v>
      </c>
      <c r="G2" s="31">
        <f>F2*(1+Assumptions!B6)</f>
        <v>493316.41707800003</v>
      </c>
      <c r="H2" s="31">
        <f>G2*(1+Assumptions!B7)</f>
        <v>517982.23793190008</v>
      </c>
      <c r="I2" s="36">
        <f>H2*(1+Assumptions!B8)</f>
        <v>541291.43863883556</v>
      </c>
    </row>
    <row r="3" spans="1:9" x14ac:dyDescent="0.3">
      <c r="A3" s="37" t="s">
        <v>5</v>
      </c>
      <c r="B3" s="11">
        <f>'Historical '!B3</f>
        <v>214137</v>
      </c>
      <c r="C3" s="11">
        <f>'Historical '!C3</f>
        <v>210352</v>
      </c>
      <c r="D3" s="11">
        <f>'Historical '!D3</f>
        <v>220960</v>
      </c>
      <c r="E3" s="12">
        <f>E2*Assumptions!G4</f>
        <v>255855.78280000002</v>
      </c>
      <c r="F3" s="12">
        <f>F2*Assumptions!G4</f>
        <v>271207.12976799998</v>
      </c>
      <c r="G3" s="12">
        <f>G2*Assumptions!G4</f>
        <v>286123.52190524002</v>
      </c>
      <c r="H3" s="12">
        <f>H2*Assumptions!G4</f>
        <v>300429.69800050202</v>
      </c>
      <c r="I3" s="38">
        <f>I2*Assumptions!G4</f>
        <v>313949.03441052459</v>
      </c>
    </row>
    <row r="4" spans="1:9" x14ac:dyDescent="0.3">
      <c r="A4" s="37" t="s">
        <v>6</v>
      </c>
      <c r="B4" s="11">
        <f>'Historical '!B4</f>
        <v>169148</v>
      </c>
      <c r="C4" s="11">
        <f>'Historical '!C4</f>
        <v>180683</v>
      </c>
      <c r="D4" s="11">
        <f>'Historical '!D4</f>
        <v>195201</v>
      </c>
      <c r="E4" s="12">
        <f>E2-E3</f>
        <v>185274.87720000002</v>
      </c>
      <c r="F4" s="12">
        <f t="shared" ref="F4:I4" si="0">F2-F3</f>
        <v>196391.36983200005</v>
      </c>
      <c r="G4" s="12">
        <f t="shared" si="0"/>
        <v>207192.89517276001</v>
      </c>
      <c r="H4" s="12">
        <f t="shared" si="0"/>
        <v>217552.53993139806</v>
      </c>
      <c r="I4" s="38">
        <f t="shared" si="0"/>
        <v>227342.40422831097</v>
      </c>
    </row>
    <row r="5" spans="1:9" x14ac:dyDescent="0.3">
      <c r="A5" s="37" t="s">
        <v>7</v>
      </c>
      <c r="B5" s="11">
        <f>'Historical '!B5</f>
        <v>29915</v>
      </c>
      <c r="C5" s="11">
        <f>'Historical '!C5</f>
        <v>31370</v>
      </c>
      <c r="D5" s="11">
        <f>'Historical '!D5</f>
        <v>34550</v>
      </c>
      <c r="E5" s="12">
        <f>E2*Assumptions!G5</f>
        <v>30879.146200000007</v>
      </c>
      <c r="F5" s="12">
        <f>F2*Assumptions!G5</f>
        <v>32731.894972000006</v>
      </c>
      <c r="G5" s="12">
        <f>G2*Assumptions!G5</f>
        <v>34532.149195460006</v>
      </c>
      <c r="H5" s="12">
        <f>H2*Assumptions!G5</f>
        <v>36258.75665523301</v>
      </c>
      <c r="I5" s="38">
        <f>I2*Assumptions!G5</f>
        <v>37890.400704718493</v>
      </c>
    </row>
    <row r="6" spans="1:9" x14ac:dyDescent="0.3">
      <c r="A6" s="37" t="s">
        <v>8</v>
      </c>
      <c r="B6" s="11">
        <f>'Historical '!B6</f>
        <v>24932</v>
      </c>
      <c r="C6" s="11">
        <f>'Historical '!C6</f>
        <v>26097</v>
      </c>
      <c r="D6" s="11">
        <f>'Historical '!D6</f>
        <v>27601</v>
      </c>
      <c r="E6" s="12">
        <f>E2*Assumptions!G6</f>
        <v>26467.839599999999</v>
      </c>
      <c r="F6" s="12">
        <f>F2*Assumptions!G6</f>
        <v>28055.909976000003</v>
      </c>
      <c r="G6" s="12">
        <f>G2*Assumptions!G6</f>
        <v>29598.985024680002</v>
      </c>
      <c r="H6" s="12">
        <f>H2*Assumptions!G6</f>
        <v>31078.934275914002</v>
      </c>
      <c r="I6" s="38">
        <f>I2*Assumptions!G6</f>
        <v>32477.486318330131</v>
      </c>
    </row>
    <row r="7" spans="1:9" x14ac:dyDescent="0.3">
      <c r="A7" s="37" t="s">
        <v>9</v>
      </c>
      <c r="B7" s="11">
        <f>'Historical '!B7</f>
        <v>114301</v>
      </c>
      <c r="C7" s="11">
        <f>'Historical '!C7</f>
        <v>123216</v>
      </c>
      <c r="D7" s="11">
        <f>'Historical '!D7</f>
        <v>133050</v>
      </c>
      <c r="E7" s="12">
        <f>E4-E5-E6</f>
        <v>127927.89139999999</v>
      </c>
      <c r="F7" s="12">
        <f t="shared" ref="F7:I7" si="1">F4-F5-F6</f>
        <v>135603.56488400005</v>
      </c>
      <c r="G7" s="12">
        <f t="shared" si="1"/>
        <v>143061.76095261998</v>
      </c>
      <c r="H7" s="12">
        <f t="shared" si="1"/>
        <v>150214.84900025104</v>
      </c>
      <c r="I7" s="38">
        <f t="shared" si="1"/>
        <v>156974.51720526235</v>
      </c>
    </row>
    <row r="8" spans="1:9" ht="28.8" x14ac:dyDescent="0.3">
      <c r="A8" s="37" t="s">
        <v>10</v>
      </c>
      <c r="B8" s="11">
        <f>'Historical '!B8</f>
        <v>565</v>
      </c>
      <c r="C8" s="11">
        <f>'Historical '!C8</f>
        <v>-565</v>
      </c>
      <c r="D8" s="11">
        <f>'Historical '!D8</f>
        <v>-266</v>
      </c>
      <c r="E8" s="10">
        <f>-300</f>
        <v>-300</v>
      </c>
      <c r="F8" s="10">
        <f t="shared" ref="F8:I8" si="2">-300</f>
        <v>-300</v>
      </c>
      <c r="G8" s="10">
        <f t="shared" si="2"/>
        <v>-300</v>
      </c>
      <c r="H8" s="10">
        <f t="shared" si="2"/>
        <v>-300</v>
      </c>
      <c r="I8" s="39">
        <f t="shared" si="2"/>
        <v>-300</v>
      </c>
    </row>
    <row r="9" spans="1:9" x14ac:dyDescent="0.3">
      <c r="A9" s="37" t="s">
        <v>11</v>
      </c>
      <c r="B9" s="11">
        <f>'Historical '!B9</f>
        <v>114866</v>
      </c>
      <c r="C9" s="11">
        <f>'Historical '!C9</f>
        <v>122651</v>
      </c>
      <c r="D9" s="11">
        <f>'Historical '!D9</f>
        <v>132784</v>
      </c>
      <c r="E9" s="12">
        <f>E7+E8</f>
        <v>127627.89139999999</v>
      </c>
      <c r="F9" s="12">
        <f t="shared" ref="F9:I9" si="3">F7+F8</f>
        <v>135303.56488400005</v>
      </c>
      <c r="G9" s="12">
        <f t="shared" si="3"/>
        <v>142761.76095261998</v>
      </c>
      <c r="H9" s="12">
        <f t="shared" si="3"/>
        <v>149914.84900025104</v>
      </c>
      <c r="I9" s="38">
        <f t="shared" si="3"/>
        <v>156674.51720526235</v>
      </c>
    </row>
    <row r="10" spans="1:9" x14ac:dyDescent="0.3">
      <c r="A10" s="37" t="s">
        <v>12</v>
      </c>
      <c r="B10" s="11">
        <f>'Historical '!B10</f>
        <v>16741</v>
      </c>
      <c r="C10" s="11">
        <f>'Historical '!C10</f>
        <v>29749</v>
      </c>
      <c r="D10" s="11">
        <f>'Historical '!D10</f>
        <v>20719</v>
      </c>
      <c r="E10" s="10">
        <f>E9*Assumptions!K4</f>
        <v>26801.857193999997</v>
      </c>
      <c r="F10" s="10">
        <f>F9*Assumptions!K4</f>
        <v>28413.748625640008</v>
      </c>
      <c r="G10" s="10">
        <f>G9*Assumptions!K4</f>
        <v>29979.969800050196</v>
      </c>
      <c r="H10" s="10">
        <f>H9*Assumptions!K4</f>
        <v>31482.118290052716</v>
      </c>
      <c r="I10" s="39">
        <f>I9*Assumptions!K4</f>
        <v>32901.648613105091</v>
      </c>
    </row>
    <row r="11" spans="1:9" x14ac:dyDescent="0.3">
      <c r="A11" s="37" t="s">
        <v>13</v>
      </c>
      <c r="B11" s="11">
        <f>'Historical '!B11</f>
        <v>96995</v>
      </c>
      <c r="C11" s="11">
        <f>'Historical '!C11</f>
        <v>93736</v>
      </c>
      <c r="D11" s="11">
        <f>'Historical '!D11</f>
        <v>112010</v>
      </c>
      <c r="E11" s="12">
        <f>E9-E10</f>
        <v>100826.034206</v>
      </c>
      <c r="F11" s="12">
        <f t="shared" ref="F11:I11" si="4">F9-F10</f>
        <v>106889.81625836005</v>
      </c>
      <c r="G11" s="12">
        <f t="shared" si="4"/>
        <v>112781.79115256979</v>
      </c>
      <c r="H11" s="12">
        <f t="shared" si="4"/>
        <v>118432.73071019832</v>
      </c>
      <c r="I11" s="38">
        <f t="shared" si="4"/>
        <v>123772.86859215726</v>
      </c>
    </row>
    <row r="12" spans="1:9" ht="28.8" x14ac:dyDescent="0.3">
      <c r="A12" s="37" t="s">
        <v>14</v>
      </c>
      <c r="B12" s="11">
        <f>'Historical '!B12</f>
        <v>8341</v>
      </c>
      <c r="C12" s="11">
        <f>'Historical '!C12</f>
        <v>8314</v>
      </c>
      <c r="D12" s="11">
        <f>'Historical '!D12</f>
        <v>8571</v>
      </c>
      <c r="E12" s="13">
        <f>E2*Assumptions!O5</f>
        <v>13233.9198</v>
      </c>
      <c r="F12" s="13">
        <f>F2*Assumptions!O5</f>
        <v>14027.954988000001</v>
      </c>
      <c r="G12" s="13">
        <f>G2*Assumptions!O5</f>
        <v>14799.492512340001</v>
      </c>
      <c r="H12" s="13">
        <f>H2*Assumptions!O5</f>
        <v>15539.467137957001</v>
      </c>
      <c r="I12" s="40">
        <f>I2*Assumptions!O5</f>
        <v>16238.743159165066</v>
      </c>
    </row>
    <row r="13" spans="1:9" ht="15" thickBot="1" x14ac:dyDescent="0.35">
      <c r="A13" s="41" t="s">
        <v>69</v>
      </c>
      <c r="B13" s="42">
        <f>'Historical '!B13</f>
        <v>-10959</v>
      </c>
      <c r="C13" s="42">
        <f>'Historical '!C13</f>
        <v>-12715</v>
      </c>
      <c r="D13" s="42">
        <f>'Historical '!D13</f>
        <v>-9447</v>
      </c>
      <c r="E13" s="43">
        <f>-E2*Assumptions!O4</f>
        <v>-22056.533000000003</v>
      </c>
      <c r="F13" s="43">
        <f>-F2*Assumptions!O4</f>
        <v>-23379.924980000003</v>
      </c>
      <c r="G13" s="43">
        <f>-G2*Assumptions!O4</f>
        <v>-24665.820853900004</v>
      </c>
      <c r="H13" s="43">
        <f>-H2*Assumptions!O4</f>
        <v>-25899.111896595005</v>
      </c>
      <c r="I13" s="44">
        <f>-I2*Assumptions!O4</f>
        <v>-27064.57193194178</v>
      </c>
    </row>
    <row r="16" spans="1:9" ht="23.4" x14ac:dyDescent="0.3">
      <c r="A16" s="114"/>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48A6-9346-4C57-9BE7-EE236F76BC86}">
  <dimension ref="A1:I18"/>
  <sheetViews>
    <sheetView workbookViewId="0">
      <selection activeCell="N22" sqref="N22"/>
    </sheetView>
  </sheetViews>
  <sheetFormatPr defaultRowHeight="14.4" x14ac:dyDescent="0.3"/>
  <cols>
    <col min="1" max="1" width="18" customWidth="1"/>
  </cols>
  <sheetData>
    <row r="1" spans="1:9" ht="15" thickBot="1" x14ac:dyDescent="0.35">
      <c r="A1" s="32" t="s">
        <v>0</v>
      </c>
      <c r="B1" s="33" t="s">
        <v>61</v>
      </c>
      <c r="C1" s="33" t="s">
        <v>62</v>
      </c>
      <c r="D1" s="33" t="s">
        <v>63</v>
      </c>
      <c r="E1" s="33" t="s">
        <v>64</v>
      </c>
      <c r="F1" s="33" t="s">
        <v>65</v>
      </c>
      <c r="G1" s="33" t="s">
        <v>66</v>
      </c>
      <c r="H1" s="33" t="s">
        <v>67</v>
      </c>
      <c r="I1" s="34" t="s">
        <v>68</v>
      </c>
    </row>
    <row r="2" spans="1:9" x14ac:dyDescent="0.3">
      <c r="A2" s="35" t="s">
        <v>70</v>
      </c>
      <c r="B2" s="30">
        <v>29965</v>
      </c>
      <c r="C2" s="46">
        <v>29943</v>
      </c>
      <c r="D2" s="46">
        <v>35934</v>
      </c>
      <c r="E2" s="15">
        <f>'Cash Flow Statement'!C11</f>
        <v>215197.34890736986</v>
      </c>
      <c r="F2" s="15">
        <f>'Cash Flow Statement'!D11</f>
        <v>311821.51084781205</v>
      </c>
      <c r="G2" s="15">
        <f>'Cash Flow Statement'!E11</f>
        <v>413849.17705547169</v>
      </c>
      <c r="H2" s="15">
        <f>'Cash Flow Statement'!F11</f>
        <v>521070.78535563714</v>
      </c>
      <c r="I2" s="20">
        <f>'Cash Flow Statement'!G11</f>
        <v>633213.17879444943</v>
      </c>
    </row>
    <row r="3" spans="1:9" x14ac:dyDescent="0.3">
      <c r="A3" s="37" t="s">
        <v>71</v>
      </c>
      <c r="B3" s="11">
        <v>29508</v>
      </c>
      <c r="C3" s="45">
        <v>33410</v>
      </c>
      <c r="D3" s="45">
        <v>39777</v>
      </c>
      <c r="E3" s="45">
        <f>'Income Statement'!E2*Assumptions!R4/365</f>
        <v>36257.314520547945</v>
      </c>
      <c r="F3" s="45">
        <f>'Income Statement'!F2*Assumptions!R4/365</f>
        <v>38432.753391780825</v>
      </c>
      <c r="G3" s="45">
        <f>'Income Statement'!G2*Assumptions!R4/365</f>
        <v>40546.554828328772</v>
      </c>
      <c r="H3" s="45">
        <f>'Income Statement'!H2*Assumptions!R4/365</f>
        <v>42573.882569745212</v>
      </c>
      <c r="I3" s="47">
        <f>'Income Statement'!I2*Assumptions!R4/365</f>
        <v>44489.707285383745</v>
      </c>
    </row>
    <row r="4" spans="1:9" x14ac:dyDescent="0.3">
      <c r="A4" s="37" t="s">
        <v>72</v>
      </c>
      <c r="B4" s="10">
        <v>6331</v>
      </c>
      <c r="C4" s="45">
        <v>7286</v>
      </c>
      <c r="D4" s="45">
        <v>5718</v>
      </c>
      <c r="E4" s="45">
        <f>'Income Statement'!E3*Assumptions!R5/365</f>
        <v>7009.7474739726031</v>
      </c>
      <c r="F4" s="45">
        <f>'Income Statement'!F3*Assumptions!R5/365</f>
        <v>7430.3323224109581</v>
      </c>
      <c r="G4" s="45">
        <f>'Income Statement'!G3*Assumptions!R5/365</f>
        <v>7839.0006001435631</v>
      </c>
      <c r="H4" s="45">
        <f>'Income Statement'!H3*Assumptions!R5/365</f>
        <v>8230.9506301507408</v>
      </c>
      <c r="I4" s="47">
        <f>'Income Statement'!I3*Assumptions!R5/365</f>
        <v>8601.3434085075241</v>
      </c>
    </row>
    <row r="5" spans="1:9" x14ac:dyDescent="0.3">
      <c r="A5" s="37" t="s">
        <v>73</v>
      </c>
      <c r="B5" s="11">
        <f>B6-B2-B3-B4</f>
        <v>77762</v>
      </c>
      <c r="C5" s="11">
        <f t="shared" ref="C5:D5" si="0">C6-C2-C3-C4</f>
        <v>82348</v>
      </c>
      <c r="D5" s="11">
        <f t="shared" si="0"/>
        <v>66528</v>
      </c>
      <c r="E5" s="45">
        <f>D5</f>
        <v>66528</v>
      </c>
      <c r="F5" s="11">
        <f>D5</f>
        <v>66528</v>
      </c>
      <c r="G5" s="11">
        <f>D5</f>
        <v>66528</v>
      </c>
      <c r="H5" s="11">
        <f>D5</f>
        <v>66528</v>
      </c>
      <c r="I5" s="48">
        <f>D5</f>
        <v>66528</v>
      </c>
    </row>
    <row r="6" spans="1:9" x14ac:dyDescent="0.3">
      <c r="A6" s="37" t="s">
        <v>74</v>
      </c>
      <c r="B6" s="10">
        <v>143566</v>
      </c>
      <c r="C6" s="45">
        <v>152987</v>
      </c>
      <c r="D6" s="45">
        <v>147957</v>
      </c>
      <c r="E6" s="45">
        <f>SUM(E2:E5)</f>
        <v>324992.41090189043</v>
      </c>
      <c r="F6" s="45">
        <f>SUM(F2:F5)</f>
        <v>424212.59656200383</v>
      </c>
      <c r="G6" s="45">
        <f>SUM(G2:G5)</f>
        <v>528762.73248394404</v>
      </c>
      <c r="H6" s="45">
        <f>SUM(H2:H5)</f>
        <v>638403.61855553312</v>
      </c>
      <c r="I6" s="47">
        <f>SUM(I2:I5)</f>
        <v>752832.22948834067</v>
      </c>
    </row>
    <row r="7" spans="1:9" x14ac:dyDescent="0.3">
      <c r="A7" s="37" t="s">
        <v>75</v>
      </c>
      <c r="B7" s="10">
        <v>43715</v>
      </c>
      <c r="C7" s="14">
        <v>45680</v>
      </c>
      <c r="D7" s="14">
        <v>46994</v>
      </c>
      <c r="E7" s="45">
        <f>'Supporting Schedules'!C5</f>
        <v>55816.613199999993</v>
      </c>
      <c r="F7" s="45">
        <f>'Supporting Schedules'!D5</f>
        <v>65168.583192000006</v>
      </c>
      <c r="G7" s="45">
        <f>'Supporting Schedules'!E5</f>
        <v>75034.911533560007</v>
      </c>
      <c r="H7" s="45">
        <f>'Supporting Schedules'!F5</f>
        <v>85394.556292198002</v>
      </c>
      <c r="I7" s="47">
        <f>'Supporting Schedules'!G5</f>
        <v>96220.385064974718</v>
      </c>
    </row>
    <row r="8" spans="1:9" ht="28.8" x14ac:dyDescent="0.3">
      <c r="A8" s="37" t="s">
        <v>76</v>
      </c>
      <c r="B8" s="11">
        <f>B9-B6-B7</f>
        <v>165302</v>
      </c>
      <c r="C8" s="11">
        <f t="shared" ref="C8:D8" si="1">C9-C6-C7</f>
        <v>166313</v>
      </c>
      <c r="D8" s="11">
        <f t="shared" si="1"/>
        <v>164290</v>
      </c>
      <c r="E8" s="45">
        <f>D8</f>
        <v>164290</v>
      </c>
      <c r="F8" s="45">
        <f t="shared" ref="F8:I8" si="2">E8</f>
        <v>164290</v>
      </c>
      <c r="G8" s="45">
        <f t="shared" si="2"/>
        <v>164290</v>
      </c>
      <c r="H8" s="45">
        <f t="shared" si="2"/>
        <v>164290</v>
      </c>
      <c r="I8" s="47">
        <f t="shared" si="2"/>
        <v>164290</v>
      </c>
    </row>
    <row r="9" spans="1:9" x14ac:dyDescent="0.3">
      <c r="A9" s="49" t="s">
        <v>77</v>
      </c>
      <c r="B9" s="14">
        <v>352583</v>
      </c>
      <c r="C9" s="14">
        <v>364980</v>
      </c>
      <c r="D9" s="14">
        <v>359241</v>
      </c>
      <c r="E9" s="45">
        <f>E6+E7+E8</f>
        <v>545099.02410189039</v>
      </c>
      <c r="F9" s="45">
        <f t="shared" ref="F9:I9" si="3">F6+F7+F8</f>
        <v>653671.17975400388</v>
      </c>
      <c r="G9" s="45">
        <f t="shared" si="3"/>
        <v>768087.64401750406</v>
      </c>
      <c r="H9" s="45">
        <f t="shared" si="3"/>
        <v>888088.17484773113</v>
      </c>
      <c r="I9" s="47">
        <f t="shared" si="3"/>
        <v>1013342.6145533153</v>
      </c>
    </row>
    <row r="10" spans="1:9" x14ac:dyDescent="0.3">
      <c r="A10" s="37" t="s">
        <v>78</v>
      </c>
      <c r="B10" s="14">
        <v>62611</v>
      </c>
      <c r="C10" s="14">
        <v>68960</v>
      </c>
      <c r="D10" s="14">
        <v>54141</v>
      </c>
      <c r="E10" s="45">
        <f>'Income Statement'!E3*Assumptions!R6/365</f>
        <v>28038.989895890412</v>
      </c>
      <c r="F10" s="45">
        <f>'Income Statement'!F3*Assumptions!R6/365</f>
        <v>29721.329289643832</v>
      </c>
      <c r="G10" s="45">
        <f>'Income Statement'!G3*Assumptions!R6/365</f>
        <v>31356.002400574253</v>
      </c>
      <c r="H10" s="45">
        <f>'Income Statement'!H3*Assumptions!R6/365</f>
        <v>32923.802520602963</v>
      </c>
      <c r="I10" s="47">
        <f>'Income Statement'!I3*Assumptions!R6/365</f>
        <v>34405.373634030097</v>
      </c>
    </row>
    <row r="11" spans="1:9" ht="28.8" x14ac:dyDescent="0.3">
      <c r="A11" s="37" t="s">
        <v>79</v>
      </c>
      <c r="B11" s="11">
        <f>B12-B10</f>
        <v>82697</v>
      </c>
      <c r="C11" s="11">
        <f>C12-C10</f>
        <v>107432</v>
      </c>
      <c r="D11" s="11">
        <f t="shared" ref="D11" si="4">D12-D10</f>
        <v>111490</v>
      </c>
      <c r="E11" s="45">
        <f>D11</f>
        <v>111490</v>
      </c>
      <c r="F11" s="45">
        <f t="shared" ref="F11:I11" si="5">E11</f>
        <v>111490</v>
      </c>
      <c r="G11" s="45">
        <f t="shared" si="5"/>
        <v>111490</v>
      </c>
      <c r="H11" s="45">
        <f t="shared" si="5"/>
        <v>111490</v>
      </c>
      <c r="I11" s="47">
        <f t="shared" si="5"/>
        <v>111490</v>
      </c>
    </row>
    <row r="12" spans="1:9" ht="18" customHeight="1" x14ac:dyDescent="0.3">
      <c r="A12" s="37" t="s">
        <v>80</v>
      </c>
      <c r="B12" s="14">
        <v>145308</v>
      </c>
      <c r="C12" s="14">
        <v>176392</v>
      </c>
      <c r="D12" s="14">
        <v>165631</v>
      </c>
      <c r="E12" s="45">
        <f>E10+E11</f>
        <v>139528.98989589041</v>
      </c>
      <c r="F12" s="45">
        <f t="shared" ref="F12:I12" si="6">F10+F11</f>
        <v>141211.32928964382</v>
      </c>
      <c r="G12" s="45">
        <f t="shared" si="6"/>
        <v>142846.00240057425</v>
      </c>
      <c r="H12" s="45">
        <f t="shared" si="6"/>
        <v>144413.80252060297</v>
      </c>
      <c r="I12" s="47">
        <f t="shared" si="6"/>
        <v>145895.37363403011</v>
      </c>
    </row>
    <row r="13" spans="1:9" x14ac:dyDescent="0.3">
      <c r="A13" s="37" t="s">
        <v>81</v>
      </c>
      <c r="B13" s="10">
        <v>95281</v>
      </c>
      <c r="C13" s="10">
        <v>85750</v>
      </c>
      <c r="D13" s="10">
        <v>87120</v>
      </c>
      <c r="E13" s="10">
        <f>D13</f>
        <v>87120</v>
      </c>
      <c r="F13" s="10">
        <f t="shared" ref="F13:I13" si="7">E13</f>
        <v>87120</v>
      </c>
      <c r="G13" s="10">
        <f t="shared" si="7"/>
        <v>87120</v>
      </c>
      <c r="H13" s="10">
        <f t="shared" si="7"/>
        <v>87120</v>
      </c>
      <c r="I13" s="39">
        <f t="shared" si="7"/>
        <v>87120</v>
      </c>
    </row>
    <row r="14" spans="1:9" ht="28.8" x14ac:dyDescent="0.3">
      <c r="A14" s="37" t="s">
        <v>82</v>
      </c>
      <c r="B14" s="11">
        <f>B15-B13-B12</f>
        <v>49848</v>
      </c>
      <c r="C14" s="11">
        <f t="shared" ref="C14:D14" si="8">C15-C13-C12</f>
        <v>45888</v>
      </c>
      <c r="D14" s="11">
        <f t="shared" si="8"/>
        <v>45475</v>
      </c>
      <c r="E14" s="11">
        <f>D14</f>
        <v>45475</v>
      </c>
      <c r="F14" s="11">
        <f t="shared" ref="F14:I14" si="9">E14</f>
        <v>45475</v>
      </c>
      <c r="G14" s="11">
        <f t="shared" si="9"/>
        <v>45475</v>
      </c>
      <c r="H14" s="11">
        <f t="shared" si="9"/>
        <v>45475</v>
      </c>
      <c r="I14" s="48">
        <f t="shared" si="9"/>
        <v>45475</v>
      </c>
    </row>
    <row r="15" spans="1:9" x14ac:dyDescent="0.3">
      <c r="A15" s="37" t="s">
        <v>83</v>
      </c>
      <c r="B15" s="14">
        <v>290437</v>
      </c>
      <c r="C15" s="14">
        <v>308030</v>
      </c>
      <c r="D15" s="14">
        <v>298226</v>
      </c>
      <c r="E15" s="11">
        <f>E12+E13+E14</f>
        <v>272123.98989589041</v>
      </c>
      <c r="F15" s="11">
        <f t="shared" ref="F15:I15" si="10">F12+F13+F14</f>
        <v>273806.32928964379</v>
      </c>
      <c r="G15" s="11">
        <f t="shared" si="10"/>
        <v>275441.00240057427</v>
      </c>
      <c r="H15" s="11">
        <f t="shared" si="10"/>
        <v>277008.80252060294</v>
      </c>
      <c r="I15" s="48">
        <f t="shared" si="10"/>
        <v>278490.37363403011</v>
      </c>
    </row>
    <row r="16" spans="1:9" x14ac:dyDescent="0.3">
      <c r="A16" s="37" t="s">
        <v>84</v>
      </c>
      <c r="B16" s="14">
        <v>62146</v>
      </c>
      <c r="C16" s="14">
        <v>56950</v>
      </c>
      <c r="D16" s="14">
        <v>61015</v>
      </c>
      <c r="E16" s="11">
        <f>E9-E15</f>
        <v>272975.03420599998</v>
      </c>
      <c r="F16" s="11">
        <f>E16+'Income Statement'!F11</f>
        <v>379864.85046436003</v>
      </c>
      <c r="G16" s="11">
        <f>F16+'Income Statement'!G11</f>
        <v>492646.64161692979</v>
      </c>
      <c r="H16" s="11">
        <f>G16+'Income Statement'!H11</f>
        <v>611079.37232712808</v>
      </c>
      <c r="I16" s="48">
        <f>H16+'Income Statement'!I11</f>
        <v>734852.24091928534</v>
      </c>
    </row>
    <row r="17" spans="1:9" ht="28.8" x14ac:dyDescent="0.3">
      <c r="A17" s="49" t="s">
        <v>85</v>
      </c>
      <c r="B17" s="11">
        <f>B15+B16</f>
        <v>352583</v>
      </c>
      <c r="C17" s="11">
        <f t="shared" ref="C17:D17" si="11">C15+C16</f>
        <v>364980</v>
      </c>
      <c r="D17" s="11">
        <f t="shared" si="11"/>
        <v>359241</v>
      </c>
      <c r="E17" s="11">
        <f>E15+E16</f>
        <v>545099.02410189039</v>
      </c>
      <c r="F17" s="11">
        <f t="shared" ref="F17:I17" si="12">F15+F16</f>
        <v>653671.17975400388</v>
      </c>
      <c r="G17" s="11">
        <f t="shared" si="12"/>
        <v>768087.64401750406</v>
      </c>
      <c r="H17" s="11">
        <f t="shared" si="12"/>
        <v>888088.17484773102</v>
      </c>
      <c r="I17" s="48">
        <f t="shared" si="12"/>
        <v>1013342.6145533154</v>
      </c>
    </row>
    <row r="18" spans="1:9" ht="15" thickBot="1" x14ac:dyDescent="0.35">
      <c r="A18" s="41" t="s">
        <v>90</v>
      </c>
      <c r="B18" s="43"/>
      <c r="C18" s="43"/>
      <c r="D18" s="43"/>
      <c r="E18" s="24">
        <f>E9-E17</f>
        <v>0</v>
      </c>
      <c r="F18" s="24">
        <f t="shared" ref="F18:I18" si="13">F9-F17</f>
        <v>0</v>
      </c>
      <c r="G18" s="24">
        <f t="shared" si="13"/>
        <v>0</v>
      </c>
      <c r="H18" s="24">
        <f t="shared" si="13"/>
        <v>0</v>
      </c>
      <c r="I18" s="25">
        <f t="shared" si="13"/>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5133-4CC7-4283-B081-4EE0D735445F}">
  <dimension ref="A1:G11"/>
  <sheetViews>
    <sheetView workbookViewId="0">
      <selection activeCell="G23" sqref="G23"/>
    </sheetView>
  </sheetViews>
  <sheetFormatPr defaultRowHeight="14.4" x14ac:dyDescent="0.3"/>
  <cols>
    <col min="1" max="1" width="13.88671875" customWidth="1"/>
    <col min="2" max="7" width="9.5546875" bestFit="1" customWidth="1"/>
  </cols>
  <sheetData>
    <row r="1" spans="1:7" ht="15" thickBot="1" x14ac:dyDescent="0.35">
      <c r="A1" s="32" t="s">
        <v>0</v>
      </c>
      <c r="B1" s="33" t="s">
        <v>63</v>
      </c>
      <c r="C1" s="33" t="s">
        <v>64</v>
      </c>
      <c r="D1" s="33" t="s">
        <v>65</v>
      </c>
      <c r="E1" s="33" t="s">
        <v>66</v>
      </c>
      <c r="F1" s="33" t="s">
        <v>67</v>
      </c>
      <c r="G1" s="34" t="s">
        <v>68</v>
      </c>
    </row>
    <row r="2" spans="1:7" x14ac:dyDescent="0.3">
      <c r="A2" s="35" t="s">
        <v>13</v>
      </c>
      <c r="B2" s="15">
        <f xml:space="preserve"> 'Income Statement'!D11</f>
        <v>112010</v>
      </c>
      <c r="C2" s="31">
        <f>'Income Statement'!E11</f>
        <v>100826.034206</v>
      </c>
      <c r="D2" s="31">
        <f>'Income Statement'!F11</f>
        <v>106889.81625836005</v>
      </c>
      <c r="E2" s="31">
        <f>'Income Statement'!G11</f>
        <v>112781.79115256979</v>
      </c>
      <c r="F2" s="31">
        <f>'Income Statement'!H11</f>
        <v>118432.73071019832</v>
      </c>
      <c r="G2" s="36">
        <f>'Income Statement'!I11</f>
        <v>123772.86859215726</v>
      </c>
    </row>
    <row r="3" spans="1:7" ht="28.8" x14ac:dyDescent="0.3">
      <c r="A3" s="37" t="s">
        <v>91</v>
      </c>
      <c r="B3" s="11">
        <f>'Income Statement'!D12</f>
        <v>8571</v>
      </c>
      <c r="C3" s="10">
        <f>'Income Statement'!E12</f>
        <v>13233.9198</v>
      </c>
      <c r="D3" s="10">
        <f>'Income Statement'!F12</f>
        <v>14027.954988000001</v>
      </c>
      <c r="E3" s="10">
        <f>'Income Statement'!G12</f>
        <v>14799.492512340001</v>
      </c>
      <c r="F3" s="10">
        <f>'Income Statement'!H12</f>
        <v>15539.467137957001</v>
      </c>
      <c r="G3" s="39">
        <f>'Income Statement'!I12</f>
        <v>16238.743159165066</v>
      </c>
    </row>
    <row r="4" spans="1:7" ht="43.2" x14ac:dyDescent="0.3">
      <c r="A4" s="37" t="s">
        <v>92</v>
      </c>
      <c r="B4" s="10">
        <v>0</v>
      </c>
      <c r="C4" s="11">
        <f>'Balance Sheet'!E3-'Balance Sheet'!D3</f>
        <v>-3519.685479452055</v>
      </c>
      <c r="D4" s="11">
        <f>'Balance Sheet'!F3-'Balance Sheet'!E3</f>
        <v>2175.43887123288</v>
      </c>
      <c r="E4" s="11">
        <f>'Balance Sheet'!G3-'Balance Sheet'!F3</f>
        <v>2113.8014365479467</v>
      </c>
      <c r="F4" s="11">
        <f>'Balance Sheet'!H3-'Balance Sheet'!G3</f>
        <v>2027.3277414164404</v>
      </c>
      <c r="G4" s="48">
        <f>'Balance Sheet'!I3-'Balance Sheet'!H3</f>
        <v>1915.8247156385332</v>
      </c>
    </row>
    <row r="5" spans="1:7" ht="28.8" x14ac:dyDescent="0.3">
      <c r="A5" s="37" t="s">
        <v>93</v>
      </c>
      <c r="B5" s="10">
        <v>0</v>
      </c>
      <c r="C5" s="11">
        <f>'Balance Sheet'!E4-'Balance Sheet'!D4</f>
        <v>1291.7474739726031</v>
      </c>
      <c r="D5" s="11">
        <f>'Balance Sheet'!F4-'Balance Sheet'!E4</f>
        <v>420.58484843835504</v>
      </c>
      <c r="E5" s="11">
        <f>'Balance Sheet'!G4-'Balance Sheet'!F4</f>
        <v>408.66827773260502</v>
      </c>
      <c r="F5" s="11">
        <f>'Balance Sheet'!H4-'Balance Sheet'!G4</f>
        <v>391.9500300071777</v>
      </c>
      <c r="G5" s="48">
        <f>'Balance Sheet'!I4-'Balance Sheet'!H4</f>
        <v>370.39277835678331</v>
      </c>
    </row>
    <row r="6" spans="1:7" ht="43.2" x14ac:dyDescent="0.3">
      <c r="A6" s="37" t="s">
        <v>94</v>
      </c>
      <c r="B6" s="10">
        <v>0</v>
      </c>
      <c r="C6" s="11">
        <f>'Balance Sheet'!E10-'Balance Sheet'!D10</f>
        <v>-26102.010104109588</v>
      </c>
      <c r="D6" s="11">
        <f>'Balance Sheet'!F10-'Balance Sheet'!E10</f>
        <v>1682.3393937534202</v>
      </c>
      <c r="E6" s="11">
        <f>'Balance Sheet'!G10-'Balance Sheet'!F10</f>
        <v>1634.6731109304201</v>
      </c>
      <c r="F6" s="11">
        <f>'Balance Sheet'!H10-'Balance Sheet'!G10</f>
        <v>1567.8001200287108</v>
      </c>
      <c r="G6" s="48">
        <f>'Balance Sheet'!I10-'Balance Sheet'!H10</f>
        <v>1481.5711134271332</v>
      </c>
    </row>
    <row r="7" spans="1:7" ht="28.8" x14ac:dyDescent="0.3">
      <c r="A7" s="37" t="s">
        <v>95</v>
      </c>
      <c r="B7" s="11">
        <f>B2+B3-B4-B5+B6</f>
        <v>120581</v>
      </c>
      <c r="C7" s="11">
        <f t="shared" ref="C7:G7" si="0">C2+C3-C4-C5+C6</f>
        <v>90185.881907369869</v>
      </c>
      <c r="D7" s="11">
        <f t="shared" si="0"/>
        <v>120004.08692044223</v>
      </c>
      <c r="E7" s="11">
        <f t="shared" si="0"/>
        <v>126693.48706155966</v>
      </c>
      <c r="F7" s="11">
        <f t="shared" si="0"/>
        <v>133120.72019676043</v>
      </c>
      <c r="G7" s="48">
        <f t="shared" si="0"/>
        <v>139206.96537075413</v>
      </c>
    </row>
    <row r="8" spans="1:7" x14ac:dyDescent="0.3">
      <c r="A8" s="37" t="s">
        <v>69</v>
      </c>
      <c r="B8" s="11">
        <f>'Income Statement'!D13</f>
        <v>-9447</v>
      </c>
      <c r="C8" s="11">
        <f>'Income Statement'!E13</f>
        <v>-22056.533000000003</v>
      </c>
      <c r="D8" s="11">
        <f>'Income Statement'!F13</f>
        <v>-23379.924980000003</v>
      </c>
      <c r="E8" s="11">
        <f>'Income Statement'!G13</f>
        <v>-24665.820853900004</v>
      </c>
      <c r="F8" s="11">
        <f>'Income Statement'!H13</f>
        <v>-25899.111896595005</v>
      </c>
      <c r="G8" s="48">
        <f>'Income Statement'!I13</f>
        <v>-27064.57193194178</v>
      </c>
    </row>
    <row r="9" spans="1:7" x14ac:dyDescent="0.3">
      <c r="A9" s="37" t="s">
        <v>96</v>
      </c>
      <c r="B9" s="11">
        <f>B7+B8</f>
        <v>111134</v>
      </c>
      <c r="C9" s="11">
        <f t="shared" ref="C9:G9" si="1">C7+C8</f>
        <v>68129.348907369858</v>
      </c>
      <c r="D9" s="11">
        <f t="shared" si="1"/>
        <v>96624.161940442224</v>
      </c>
      <c r="E9" s="11">
        <f t="shared" si="1"/>
        <v>102027.66620765965</v>
      </c>
      <c r="F9" s="11">
        <f t="shared" si="1"/>
        <v>107221.60830016543</v>
      </c>
      <c r="G9" s="48">
        <f t="shared" si="1"/>
        <v>112142.39343881235</v>
      </c>
    </row>
    <row r="10" spans="1:7" x14ac:dyDescent="0.3">
      <c r="A10" s="37" t="s">
        <v>97</v>
      </c>
      <c r="B10" s="10">
        <f>'Balance Sheet'!D2</f>
        <v>35934</v>
      </c>
      <c r="C10" s="10">
        <f>B11</f>
        <v>147068</v>
      </c>
      <c r="D10" s="10">
        <f t="shared" ref="D10:G10" si="2">C11</f>
        <v>215197.34890736986</v>
      </c>
      <c r="E10" s="10">
        <f t="shared" si="2"/>
        <v>311821.51084781205</v>
      </c>
      <c r="F10" s="10">
        <f t="shared" si="2"/>
        <v>413849.17705547169</v>
      </c>
      <c r="G10" s="39">
        <f t="shared" si="2"/>
        <v>521070.78535563714</v>
      </c>
    </row>
    <row r="11" spans="1:7" ht="15" thickBot="1" x14ac:dyDescent="0.35">
      <c r="A11" s="41" t="s">
        <v>98</v>
      </c>
      <c r="B11" s="42">
        <f>B10+B9</f>
        <v>147068</v>
      </c>
      <c r="C11" s="42">
        <f t="shared" ref="C11:G11" si="3">C10+C9</f>
        <v>215197.34890736986</v>
      </c>
      <c r="D11" s="42">
        <f t="shared" si="3"/>
        <v>311821.51084781205</v>
      </c>
      <c r="E11" s="42">
        <f t="shared" si="3"/>
        <v>413849.17705547169</v>
      </c>
      <c r="F11" s="42">
        <f t="shared" si="3"/>
        <v>521070.78535563714</v>
      </c>
      <c r="G11" s="50">
        <f t="shared" si="3"/>
        <v>633213.17879444943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E583-60A9-4C57-9027-020E163C8DB5}">
  <dimension ref="A1:G7"/>
  <sheetViews>
    <sheetView workbookViewId="0">
      <selection activeCell="H17" sqref="H17"/>
    </sheetView>
  </sheetViews>
  <sheetFormatPr defaultRowHeight="14.4" x14ac:dyDescent="0.3"/>
  <cols>
    <col min="1" max="1" width="15" customWidth="1"/>
  </cols>
  <sheetData>
    <row r="1" spans="1:7" ht="15" thickBot="1" x14ac:dyDescent="0.35">
      <c r="A1" s="32" t="s">
        <v>0</v>
      </c>
      <c r="B1" s="33" t="s">
        <v>63</v>
      </c>
      <c r="C1" s="33" t="s">
        <v>64</v>
      </c>
      <c r="D1" s="33" t="s">
        <v>65</v>
      </c>
      <c r="E1" s="33" t="s">
        <v>66</v>
      </c>
      <c r="F1" s="33" t="s">
        <v>67</v>
      </c>
      <c r="G1" s="34" t="s">
        <v>68</v>
      </c>
    </row>
    <row r="2" spans="1:7" x14ac:dyDescent="0.3">
      <c r="A2" s="35" t="s">
        <v>86</v>
      </c>
      <c r="B2" s="30">
        <v>46994</v>
      </c>
      <c r="C2" s="30">
        <f>B5</f>
        <v>46994</v>
      </c>
      <c r="D2" s="30">
        <f>C5</f>
        <v>55816.613199999993</v>
      </c>
      <c r="E2" s="30">
        <f>D5</f>
        <v>65168.583192000006</v>
      </c>
      <c r="F2" s="30">
        <f>E5</f>
        <v>75034.911533560007</v>
      </c>
      <c r="G2" s="51">
        <f>F5</f>
        <v>85394.556292198002</v>
      </c>
    </row>
    <row r="3" spans="1:7" x14ac:dyDescent="0.3">
      <c r="A3" s="37" t="s">
        <v>87</v>
      </c>
      <c r="B3" s="10"/>
      <c r="C3" s="10">
        <f>'Income Statement'!E13</f>
        <v>-22056.533000000003</v>
      </c>
      <c r="D3" s="10">
        <f>'Income Statement'!F13</f>
        <v>-23379.924980000003</v>
      </c>
      <c r="E3" s="10">
        <f>'Income Statement'!G13</f>
        <v>-24665.820853900004</v>
      </c>
      <c r="F3" s="10">
        <f>'Income Statement'!H13</f>
        <v>-25899.111896595005</v>
      </c>
      <c r="G3" s="39">
        <f>'Income Statement'!I13</f>
        <v>-27064.57193194178</v>
      </c>
    </row>
    <row r="4" spans="1:7" x14ac:dyDescent="0.3">
      <c r="A4" s="37" t="s">
        <v>88</v>
      </c>
      <c r="B4" s="10"/>
      <c r="C4" s="10">
        <f>'Income Statement'!E12</f>
        <v>13233.9198</v>
      </c>
      <c r="D4" s="10">
        <f>'Income Statement'!F12</f>
        <v>14027.954988000001</v>
      </c>
      <c r="E4" s="10">
        <f>'Income Statement'!G12</f>
        <v>14799.492512340001</v>
      </c>
      <c r="F4" s="10">
        <f>'Income Statement'!H12</f>
        <v>15539.467137957001</v>
      </c>
      <c r="G4" s="39">
        <f>'Income Statement'!I12</f>
        <v>16238.743159165066</v>
      </c>
    </row>
    <row r="5" spans="1:7" ht="15" thickBot="1" x14ac:dyDescent="0.35">
      <c r="A5" s="41" t="s">
        <v>89</v>
      </c>
      <c r="B5" s="42">
        <f>B2</f>
        <v>46994</v>
      </c>
      <c r="C5" s="42">
        <f>C2-C3-C4</f>
        <v>55816.613199999993</v>
      </c>
      <c r="D5" s="42">
        <f>D2-D3-D4</f>
        <v>65168.583192000006</v>
      </c>
      <c r="E5" s="42">
        <f>E2-E3-E4</f>
        <v>75034.911533560007</v>
      </c>
      <c r="F5" s="42">
        <f>F2-F3-F4</f>
        <v>85394.556292198002</v>
      </c>
      <c r="G5" s="50">
        <f>G2-G3-G4</f>
        <v>96220.385064974718</v>
      </c>
    </row>
    <row r="7" spans="1:7" ht="15.6" customHeight="1"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03DB-B5DD-450E-82EC-86E65573018B}">
  <dimension ref="A1:M8"/>
  <sheetViews>
    <sheetView workbookViewId="0">
      <selection activeCell="G13" sqref="G13"/>
    </sheetView>
  </sheetViews>
  <sheetFormatPr defaultRowHeight="14.4" x14ac:dyDescent="0.3"/>
  <cols>
    <col min="1" max="1" width="9.88671875" bestFit="1" customWidth="1"/>
    <col min="2" max="2" width="6.6640625" bestFit="1" customWidth="1"/>
  </cols>
  <sheetData>
    <row r="1" spans="1:13" x14ac:dyDescent="0.3">
      <c r="A1" s="9" t="s">
        <v>16</v>
      </c>
      <c r="B1" s="9" t="s">
        <v>17</v>
      </c>
      <c r="C1" s="13"/>
    </row>
    <row r="2" spans="1:13" ht="43.2" x14ac:dyDescent="0.3">
      <c r="A2" s="10" t="s">
        <v>18</v>
      </c>
      <c r="B2" s="10" t="s">
        <v>24</v>
      </c>
      <c r="C2" s="14">
        <v>96995</v>
      </c>
    </row>
    <row r="3" spans="1:13" ht="43.2" x14ac:dyDescent="0.3">
      <c r="A3" s="10" t="s">
        <v>19</v>
      </c>
      <c r="B3" s="10" t="s">
        <v>24</v>
      </c>
      <c r="C3" s="14">
        <v>93736</v>
      </c>
    </row>
    <row r="4" spans="1:13" ht="43.2" x14ac:dyDescent="0.3">
      <c r="A4" s="10" t="s">
        <v>20</v>
      </c>
      <c r="B4" s="10" t="s">
        <v>24</v>
      </c>
      <c r="C4" s="14">
        <v>112010</v>
      </c>
    </row>
    <row r="7" spans="1:13" x14ac:dyDescent="0.3">
      <c r="A7" s="7" t="s">
        <v>22</v>
      </c>
      <c r="B7" s="7"/>
      <c r="C7" s="7"/>
      <c r="D7" s="7"/>
      <c r="E7" s="7"/>
      <c r="F7" s="7"/>
      <c r="G7" s="7"/>
      <c r="H7" s="7"/>
      <c r="I7" s="7"/>
      <c r="J7" s="7"/>
      <c r="K7" s="7"/>
      <c r="L7" s="7"/>
      <c r="M7" s="7"/>
    </row>
    <row r="8" spans="1:13" x14ac:dyDescent="0.3">
      <c r="A8" s="3" t="s">
        <v>23</v>
      </c>
      <c r="B8" s="7" t="s">
        <v>21</v>
      </c>
      <c r="C8" s="7"/>
      <c r="D8" s="7"/>
      <c r="E8" s="7"/>
      <c r="F8" s="7"/>
      <c r="G8" s="7"/>
      <c r="H8" s="7"/>
      <c r="I8" s="7"/>
      <c r="J8" s="7"/>
      <c r="K8" s="7"/>
      <c r="L8" s="7"/>
      <c r="M8" s="7"/>
    </row>
  </sheetData>
  <mergeCells count="2">
    <mergeCell ref="A7:M7"/>
    <mergeCell ref="B8:M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7B37-EC92-4D34-AC81-4FC55D179A50}">
  <dimension ref="A1:F10"/>
  <sheetViews>
    <sheetView workbookViewId="0">
      <selection activeCell="I12" sqref="I12"/>
    </sheetView>
  </sheetViews>
  <sheetFormatPr defaultRowHeight="14.4" x14ac:dyDescent="0.3"/>
  <cols>
    <col min="1" max="1" width="15.5546875" customWidth="1"/>
    <col min="2" max="2" width="11.5546875" bestFit="1" customWidth="1"/>
    <col min="5" max="6" width="11.5546875" bestFit="1" customWidth="1"/>
  </cols>
  <sheetData>
    <row r="1" spans="1:6" ht="15" thickBot="1" x14ac:dyDescent="0.35">
      <c r="A1" s="32" t="s">
        <v>0</v>
      </c>
      <c r="B1" s="33" t="s">
        <v>64</v>
      </c>
      <c r="C1" s="33" t="s">
        <v>65</v>
      </c>
      <c r="D1" s="33" t="s">
        <v>66</v>
      </c>
      <c r="E1" s="33" t="s">
        <v>67</v>
      </c>
      <c r="F1" s="34" t="s">
        <v>68</v>
      </c>
    </row>
    <row r="2" spans="1:6" x14ac:dyDescent="0.3">
      <c r="A2" s="53" t="s">
        <v>96</v>
      </c>
      <c r="B2" s="30">
        <f>'Cash Flow Statement'!C9</f>
        <v>68129.348907369858</v>
      </c>
      <c r="C2" s="30">
        <f>'Cash Flow Statement'!D9</f>
        <v>96624.161940442224</v>
      </c>
      <c r="D2" s="30">
        <f>'Cash Flow Statement'!E9</f>
        <v>102027.66620765965</v>
      </c>
      <c r="E2" s="30">
        <f>'Cash Flow Statement'!F9</f>
        <v>107221.60830016543</v>
      </c>
      <c r="F2" s="51">
        <f>'Cash Flow Statement'!G9</f>
        <v>112142.39343881235</v>
      </c>
    </row>
    <row r="3" spans="1:6" x14ac:dyDescent="0.3">
      <c r="A3" s="54" t="s">
        <v>100</v>
      </c>
      <c r="B3" s="52">
        <f>1/(1+Assumptions!V3)^1</f>
        <v>0.9174311926605504</v>
      </c>
      <c r="C3" s="52">
        <f>1/(1+Assumptions!V3)^2</f>
        <v>0.84167999326655996</v>
      </c>
      <c r="D3" s="52">
        <f>1/(1+Assumptions!V3)^3</f>
        <v>0.77218348006106419</v>
      </c>
      <c r="E3" s="52">
        <f>1/(1+Assumptions!V3)^4</f>
        <v>0.7084252110651964</v>
      </c>
      <c r="F3" s="55">
        <f>1/(1+Assumptions!V3)^5</f>
        <v>0.64993138629834524</v>
      </c>
    </row>
    <row r="4" spans="1:6" ht="29.4" thickBot="1" x14ac:dyDescent="0.35">
      <c r="A4" s="56" t="s">
        <v>101</v>
      </c>
      <c r="B4" s="57">
        <f>B2*B3</f>
        <v>62503.989823275093</v>
      </c>
      <c r="C4" s="57">
        <f t="shared" ref="C4:F4" si="0">C2*C3</f>
        <v>81326.623971418405</v>
      </c>
      <c r="D4" s="57">
        <f t="shared" si="0"/>
        <v>78784.078354739278</v>
      </c>
      <c r="E4" s="57">
        <f t="shared" si="0"/>
        <v>75958.490490794517</v>
      </c>
      <c r="F4" s="58">
        <f t="shared" si="0"/>
        <v>72884.86123050176</v>
      </c>
    </row>
    <row r="6" spans="1:6" ht="15" thickBot="1" x14ac:dyDescent="0.35"/>
    <row r="7" spans="1:6" ht="15" thickBot="1" x14ac:dyDescent="0.35">
      <c r="A7" s="32" t="s">
        <v>0</v>
      </c>
      <c r="B7" s="34" t="s">
        <v>26</v>
      </c>
    </row>
    <row r="8" spans="1:6" x14ac:dyDescent="0.3">
      <c r="A8" s="35" t="s">
        <v>102</v>
      </c>
      <c r="B8" s="59">
        <f>F2*(1+Assumptions!V4)/(Assumptions!V3-Assumptions!V4)</f>
        <v>1768399.2811505022</v>
      </c>
    </row>
    <row r="9" spans="1:6" ht="28.8" x14ac:dyDescent="0.3">
      <c r="A9" s="37" t="s">
        <v>103</v>
      </c>
      <c r="B9" s="39">
        <f>B8*F3</f>
        <v>1149338.1963271431</v>
      </c>
    </row>
    <row r="10" spans="1:6" ht="15" thickBot="1" x14ac:dyDescent="0.35">
      <c r="A10" s="41" t="s">
        <v>104</v>
      </c>
      <c r="B10" s="58">
        <f>SUM(B4:F4)+B8</f>
        <v>2139857.3250212311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1A6-4195-4AC6-A09A-B694C7517F4F}">
  <dimension ref="A1:F12"/>
  <sheetViews>
    <sheetView tabSelected="1" workbookViewId="0">
      <selection activeCell="J18" sqref="J18"/>
    </sheetView>
  </sheetViews>
  <sheetFormatPr defaultRowHeight="14.4" x14ac:dyDescent="0.3"/>
  <cols>
    <col min="1" max="1" width="16.33203125" customWidth="1"/>
    <col min="2" max="6" width="12.33203125" bestFit="1" customWidth="1"/>
  </cols>
  <sheetData>
    <row r="1" spans="1:6" ht="15" thickBot="1" x14ac:dyDescent="0.35">
      <c r="A1" s="60" t="s">
        <v>106</v>
      </c>
      <c r="B1" s="61"/>
      <c r="C1" s="61"/>
      <c r="D1" s="61"/>
      <c r="E1" s="61"/>
      <c r="F1" s="62"/>
    </row>
    <row r="2" spans="1:6" ht="29.4" thickBot="1" x14ac:dyDescent="0.35">
      <c r="A2" s="63" t="s">
        <v>105</v>
      </c>
      <c r="B2" s="70">
        <v>0.08</v>
      </c>
      <c r="C2" s="70">
        <v>8.5000000000000006E-2</v>
      </c>
      <c r="D2" s="70">
        <v>0.09</v>
      </c>
      <c r="E2" s="70">
        <v>9.5000000000000001E-2</v>
      </c>
      <c r="F2" s="71">
        <v>0.1</v>
      </c>
    </row>
    <row r="3" spans="1:6" x14ac:dyDescent="0.3">
      <c r="A3" s="72">
        <v>0.02</v>
      </c>
      <c r="B3" s="64">
        <f>SUM(DCF!$B$4:$F$4)+((DCF!$F$2*(1+$A3))/(B$2-$A3))*DCF!$F$3</f>
        <v>1610500.684789259</v>
      </c>
      <c r="C3" s="64">
        <f>SUM(DCF!$B$4:$F$4)+((DCF!$F$2*(1+$A3))/(C$2-$A3))*DCF!$F$3</f>
        <v>1515189.7124109105</v>
      </c>
      <c r="D3" s="64">
        <f>SUM(DCF!$B$4:$F$4)+((DCF!$F$2*(1+$A3))/(D$2-$A3))*DCF!$F$3</f>
        <v>1433494.5932294694</v>
      </c>
      <c r="E3" s="64">
        <f>SUM(DCF!$B$4:$F$4)+((DCF!$F$2*(1+$A3))/(E$2-$A3))*DCF!$F$3</f>
        <v>1362692.1566055531</v>
      </c>
      <c r="F3" s="65">
        <f>SUM(DCF!$B$4:$F$4)+((DCF!$F$2*(1+$A3))/(F$2-$A3))*DCF!$F$3</f>
        <v>1300740.0245596264</v>
      </c>
    </row>
    <row r="4" spans="1:6" x14ac:dyDescent="0.3">
      <c r="A4" s="73">
        <v>2.5000000000000001E-2</v>
      </c>
      <c r="B4" s="66">
        <f>SUM(DCF!$B$4:$F$4)+((DCF!$F$2*(1+$A4))/(B$2-$A4))*DCF!$F$3</f>
        <v>1729766.8213482616</v>
      </c>
      <c r="C4" s="66">
        <f>SUM(DCF!$B$4:$F$4)+((DCF!$F$2*(1+$A4))/(C$2-$A4))*DCF!$F$3</f>
        <v>1616574.4232251337</v>
      </c>
      <c r="D4" s="75">
        <f>SUM(DCF!$B$4:$F$4)+((DCF!$F$2*(1+$A4))/(D$2-$A4))*DCF!$F$3</f>
        <v>1520796.2401978723</v>
      </c>
      <c r="E4" s="66">
        <f>SUM(DCF!$B$4:$F$4)+((DCF!$F$2*(1+$A4))/(E$2-$A4))*DCF!$F$3</f>
        <v>1438700.6547459331</v>
      </c>
      <c r="F4" s="67">
        <f>SUM(DCF!$B$4:$F$4)+((DCF!$F$2*(1+$A4))/(F$2-$A4))*DCF!$F$3</f>
        <v>1367551.1473542531</v>
      </c>
    </row>
    <row r="5" spans="1:6" x14ac:dyDescent="0.3">
      <c r="A5" s="73">
        <v>0.03</v>
      </c>
      <c r="B5" s="66">
        <f>SUM(DCF!$B$4:$F$4)+((DCF!$F$2*(1+$A5))/(B$2-$A5))*DCF!$F$3</f>
        <v>1872886.1852190653</v>
      </c>
      <c r="C5" s="66">
        <f>SUM(DCF!$B$4:$F$4)+((DCF!$F$2*(1+$A5))/(C$2-$A5))*DCF!$F$3</f>
        <v>1736392.717823762</v>
      </c>
      <c r="D5" s="66">
        <f>SUM(DCF!$B$4:$F$4)+((DCF!$F$2*(1+$A5))/(D$2-$A5))*DCF!$F$3</f>
        <v>1622648.1616610093</v>
      </c>
      <c r="E5" s="66">
        <f>SUM(DCF!$B$4:$F$4)+((DCF!$F$2*(1+$A5))/(E$2-$A5))*DCF!$F$3</f>
        <v>1526402.767984834</v>
      </c>
      <c r="F5" s="67">
        <f>SUM(DCF!$B$4:$F$4)+((DCF!$F$2*(1+$A5))/(F$2-$A5))*DCF!$F$3</f>
        <v>1443906.7162623978</v>
      </c>
    </row>
    <row r="6" spans="1:6" x14ac:dyDescent="0.3">
      <c r="A6" s="73">
        <v>3.5000000000000003E-2</v>
      </c>
      <c r="B6" s="66">
        <f>SUM(DCF!$B$4:$F$4)+((DCF!$F$2*(1+$A6))/(B$2-$A6))*DCF!$F$3</f>
        <v>2047809.8521722695</v>
      </c>
      <c r="C6" s="66">
        <f>SUM(DCF!$B$4:$F$4)+((DCF!$F$2*(1+$A6))/(C$2-$A6))*DCF!$F$3</f>
        <v>1880174.6713421154</v>
      </c>
      <c r="D6" s="66">
        <f>SUM(DCF!$B$4:$F$4)+((DCF!$F$2*(1+$A6))/(D$2-$A6))*DCF!$F$3</f>
        <v>1743018.6142992619</v>
      </c>
      <c r="E6" s="66">
        <f>SUM(DCF!$B$4:$F$4)+((DCF!$F$2*(1+$A6))/(E$2-$A6))*DCF!$F$3</f>
        <v>1628721.9000968845</v>
      </c>
      <c r="F6" s="67">
        <f>SUM(DCF!$B$4:$F$4)+((DCF!$F$2*(1+$A6))/(F$2-$A6))*DCF!$F$3</f>
        <v>1532009.2957717953</v>
      </c>
    </row>
    <row r="7" spans="1:6" ht="15" thickBot="1" x14ac:dyDescent="0.35">
      <c r="A7" s="74">
        <v>0.04</v>
      </c>
      <c r="B7" s="68">
        <f>SUM(DCF!$B$4:$F$4)+((DCF!$F$2*(1+$A7))/(B$2-$A7))*DCF!$F$3</f>
        <v>2266464.4358637747</v>
      </c>
      <c r="C7" s="68">
        <f>SUM(DCF!$B$4:$F$4)+((DCF!$F$2*(1+$A7))/(C$2-$A7))*DCF!$F$3</f>
        <v>2055908.1700867694</v>
      </c>
      <c r="D7" s="68">
        <f>SUM(DCF!$B$4:$F$4)+((DCF!$F$2*(1+$A7))/(D$2-$A7))*DCF!$F$3</f>
        <v>1887463.1574651659</v>
      </c>
      <c r="E7" s="68">
        <f>SUM(DCF!$B$4:$F$4)+((DCF!$F$2*(1+$A7))/(E$2-$A7))*DCF!$F$3</f>
        <v>1749644.5107747624</v>
      </c>
      <c r="F7" s="69">
        <f>SUM(DCF!$B$4:$F$4)+((DCF!$F$2*(1+$A7))/(F$2-$A7))*DCF!$F$3</f>
        <v>1634795.6385327596</v>
      </c>
    </row>
    <row r="9" spans="1:6" x14ac:dyDescent="0.3">
      <c r="A9" s="1"/>
      <c r="B9" s="1"/>
    </row>
    <row r="10" spans="1:6" x14ac:dyDescent="0.3">
      <c r="A10" s="2"/>
      <c r="B10" s="2"/>
    </row>
    <row r="11" spans="1:6" x14ac:dyDescent="0.3">
      <c r="A11" s="2"/>
      <c r="B11" s="2"/>
    </row>
    <row r="12" spans="1:6" x14ac:dyDescent="0.3">
      <c r="A12" s="2"/>
      <c r="B12" s="2"/>
    </row>
  </sheetData>
  <mergeCells count="1">
    <mergeCell ref="A1:F1"/>
  </mergeCells>
  <conditionalFormatting sqref="B3:F7">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Historical </vt:lpstr>
      <vt:lpstr>Assumptions</vt:lpstr>
      <vt:lpstr>Income Statement</vt:lpstr>
      <vt:lpstr>Balance Sheet</vt:lpstr>
      <vt:lpstr>Cash Flow Statement</vt:lpstr>
      <vt:lpstr>Supporting Schedules</vt:lpstr>
      <vt:lpstr>Checks</vt:lpstr>
      <vt:lpstr>DCF</vt:lpstr>
      <vt:lpstr>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Narkhede, Smriti Kishor</dc:creator>
  <cp:lastModifiedBy>Narkhede, Smriti Kishor</cp:lastModifiedBy>
  <dcterms:created xsi:type="dcterms:W3CDTF">2026-06-24T20:16:14Z</dcterms:created>
  <dcterms:modified xsi:type="dcterms:W3CDTF">2026-07-01T20:05:50Z</dcterms:modified>
</cp:coreProperties>
</file>